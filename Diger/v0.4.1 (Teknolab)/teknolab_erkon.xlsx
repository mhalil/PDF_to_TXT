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yfa1" sheetId="1" state="visible" r:id="rId3"/>
    <sheet name="Sayfa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Mustafa Halil</author>
    <author>mhgorentas</author>
  </authors>
  <commentList>
    <comment ref="B1" authorId="0">
      <text>
        <r>
          <rPr>
            <sz val="10"/>
            <rFont val="Arial"/>
            <family val="2"/>
            <charset val="162"/>
          </rPr>
          <t xml:space="preserve">Ara:
(.+)(\s\d+,\d+\s)(.+)
Değiştir:
$2</t>
        </r>
      </text>
    </comment>
    <comment ref="C117" authorId="1">
      <text>
        <r>
          <rPr>
            <sz val="10"/>
            <rFont val="Arial"/>
            <family val="2"/>
            <charset val="162"/>
          </rPr>
          <t xml:space="preserve">mhgorentas:
</t>
        </r>
        <r>
          <rPr>
            <sz val="9"/>
            <color rgb="FF000000"/>
            <rFont val="Tahoma"/>
            <family val="2"/>
            <charset val="162"/>
          </rPr>
          <t xml:space="preserve">Cr 17'nin altındaysa, 
Ni min. 12 omalı</t>
        </r>
      </text>
    </comment>
  </commentList>
</comments>
</file>

<file path=xl/sharedStrings.xml><?xml version="1.0" encoding="utf-8"?>
<sst xmlns="http://schemas.openxmlformats.org/spreadsheetml/2006/main" count="974" uniqueCount="227">
  <si>
    <t xml:space="preserve">SONUÇLAR</t>
  </si>
  <si>
    <t xml:space="preserve">SONUÇLAR – Değerler</t>
  </si>
  <si>
    <t xml:space="preserve">Şartname Değerleri</t>
  </si>
  <si>
    <t xml:space="preserve">min.</t>
  </si>
  <si>
    <t xml:space="preserve">max.</t>
  </si>
  <si>
    <t xml:space="preserve">Parça</t>
  </si>
  <si>
    <t xml:space="preserve">Sonuç</t>
  </si>
  <si>
    <t xml:space="preserve">Brinell   190,00  HBW</t>
  </si>
  <si>
    <t xml:space="preserve">170-230</t>
  </si>
  <si>
    <t xml:space="preserve">Gövde ve Kapak Malzemesi _ Küresel Grafitli Dökme Demir</t>
  </si>
  <si>
    <t xml:space="preserve">Brinell   194,20  HBW</t>
  </si>
  <si>
    <t xml:space="preserve">Brinell   192,70  HBW</t>
  </si>
  <si>
    <t xml:space="preserve">Brinell   191,30  HBW</t>
  </si>
  <si>
    <t xml:space="preserve">Brinell   191,50  HBW</t>
  </si>
  <si>
    <t xml:space="preserve">Brinell   192,10  HBW</t>
  </si>
  <si>
    <t xml:space="preserve">Brinell   193,40  HBW</t>
  </si>
  <si>
    <t xml:space="preserve">Brinell   193,20  HBW</t>
  </si>
  <si>
    <t xml:space="preserve">Brinell   193,80  HBW</t>
  </si>
  <si>
    <t xml:space="preserve">Brinell   194,50  HBW</t>
  </si>
  <si>
    <t xml:space="preserve">Brinell   195,10  HBW</t>
  </si>
  <si>
    <t xml:space="preserve">Brinell   194,40  HBW</t>
  </si>
  <si>
    <t xml:space="preserve">Brinell   192,60  HBW</t>
  </si>
  <si>
    <t xml:space="preserve">Brinell   192,80  HBW</t>
  </si>
  <si>
    <t xml:space="preserve">Brinell   191,90  HBW</t>
  </si>
  <si>
    <t xml:space="preserve">Rp0,2  341,00  N/mm^2  EN ISO 6892-1 Metod B</t>
  </si>
  <si>
    <t xml:space="preserve">min. 320</t>
  </si>
  <si>
    <t xml:space="preserve">Rp0,2  347,00  N/mm^2  EN ISO 6892-1 Metod B</t>
  </si>
  <si>
    <t xml:space="preserve">Rp0,2  339,00  N/mm^2  EN ISO 6892-1 Metod B</t>
  </si>
  <si>
    <t xml:space="preserve">Rp0,2  351,00  N/mm^2  EN ISO 6892-1 Metod B</t>
  </si>
  <si>
    <t xml:space="preserve">Rp0,2  335,00  N/mm^2  EN ISO 6892-1 Metod B</t>
  </si>
  <si>
    <t xml:space="preserve">Rp0,2  502,00  N/mm^2  EN ISO 6892-1 Metod B</t>
  </si>
  <si>
    <t xml:space="preserve">min. 450</t>
  </si>
  <si>
    <t xml:space="preserve">Kilit Mekanizması </t>
  </si>
  <si>
    <t xml:space="preserve">Rp0,2  510,00  N/mm^2  EN ISO 6892-1 Metod B</t>
  </si>
  <si>
    <t xml:space="preserve">Rp0,2  497,00  N/mm^2  EN ISO 6892-1 Metod B</t>
  </si>
  <si>
    <t xml:space="preserve">Rp0,2  505,00  N/mm^2  EN ISO 6892-1 Metod B</t>
  </si>
  <si>
    <t xml:space="preserve">Rp0,2  514,00  N/mm^2  EN ISO 6892-1 Metod B</t>
  </si>
  <si>
    <t xml:space="preserve">(Rm)   519,00  N/mm^2  EN ISO 6892-1 Metod B</t>
  </si>
  <si>
    <t xml:space="preserve">min. 500</t>
  </si>
  <si>
    <t xml:space="preserve">(Rm)   535,00  N/mm^2  EN ISO 6892-1 Metod B</t>
  </si>
  <si>
    <t xml:space="preserve">(Rm)   523,00  N/mm^2  EN ISO 6892-1 Metod B</t>
  </si>
  <si>
    <t xml:space="preserve">(Rm)   540,00  N/mm^2  EN ISO 6892-1 Metod B</t>
  </si>
  <si>
    <t xml:space="preserve">(Rm)   531,00  N/mm^2  EN ISO 6892-1 Metod B</t>
  </si>
  <si>
    <t xml:space="preserve">(Rm)   765,00  N/mm^2  EN ISO 6892-1 Metod B</t>
  </si>
  <si>
    <t xml:space="preserve">min. 700</t>
  </si>
  <si>
    <t xml:space="preserve">Kilit Mekanizması</t>
  </si>
  <si>
    <t xml:space="preserve">(Rm)   759,00  N/mm^2  EN ISO 6892-1 Metod B</t>
  </si>
  <si>
    <t xml:space="preserve">(Rm)   755,00  N/mm^2  EN ISO 6892-1 Metod B</t>
  </si>
  <si>
    <t xml:space="preserve">(Rm)   760,00  N/mm^2  EN ISO 6892-1 Metod B</t>
  </si>
  <si>
    <t xml:space="preserve">(Rm)   770,00  N/mm^2  EN ISO 6892-1 Metod B</t>
  </si>
  <si>
    <t xml:space="preserve">A5  12,50  %  EN ISO 6892-1 Metod B</t>
  </si>
  <si>
    <t xml:space="preserve">min. 7</t>
  </si>
  <si>
    <t xml:space="preserve">A5  11,00  %  EN ISO 6892-1 Metod B</t>
  </si>
  <si>
    <t xml:space="preserve">A5  9,000  %  EN ISO 6892-1 Metod B</t>
  </si>
  <si>
    <t xml:space="preserve">A5  11,50  %  EN ISO 6892-1 Metod B</t>
  </si>
  <si>
    <t xml:space="preserve">A5  10,00  %  EN ISO 6892-1 Metod B</t>
  </si>
  <si>
    <t xml:space="preserve">A5  41,00  %  EN ISO 6892-1 Metod B</t>
  </si>
  <si>
    <t xml:space="preserve">0,4 * d</t>
  </si>
  <si>
    <t xml:space="preserve">A5  38,50  %  EN ISO 6892-1 Metod B</t>
  </si>
  <si>
    <t xml:space="preserve">A5  40,00  %  EN ISO 6892-1 Metod B</t>
  </si>
  <si>
    <t xml:space="preserve">A5  42,00  %  EN ISO 6892-1 Metod B</t>
  </si>
  <si>
    <t xml:space="preserve">*Kopma Mukavemeti   12,00  N/mm^2  TS ISO 37</t>
  </si>
  <si>
    <t xml:space="preserve">min. 10</t>
  </si>
  <si>
    <t xml:space="preserve">EPDM Conta</t>
  </si>
  <si>
    <t xml:space="preserve">*Kopma Mukavemeti   11,00  N/mm^2  TS ISO 37</t>
  </si>
  <si>
    <t xml:space="preserve">*Kopma Mukavemeti   14,00  N/mm^2  TS ISO 37</t>
  </si>
  <si>
    <t xml:space="preserve">*Kopma Mukavemeti   13,00  N/mm^2  TS ISO 37</t>
  </si>
  <si>
    <t xml:space="preserve">*Kopma Mukavemeti   15,00  N/mm^2  TS ISO 37</t>
  </si>
  <si>
    <t xml:space="preserve">*Uzama  341,00  %  TS ISO 37</t>
  </si>
  <si>
    <t xml:space="preserve">min. 350</t>
  </si>
  <si>
    <t xml:space="preserve">*Uzama  338,00  %  TS ISO 37</t>
  </si>
  <si>
    <t xml:space="preserve">*Uzama  330,00  %  TS ISO 37</t>
  </si>
  <si>
    <t xml:space="preserve">*Uzama  334,00  %  TS ISO 37</t>
  </si>
  <si>
    <t xml:space="preserve">*Uzama  328,00  %  TS ISO 37</t>
  </si>
  <si>
    <t xml:space="preserve">Ti  0,014  %  ASTM E1999</t>
  </si>
  <si>
    <t xml:space="preserve">Gövde Kapak Malzemesi</t>
  </si>
  <si>
    <t xml:space="preserve">*Mg  0,043  %  ASTM E1999</t>
  </si>
  <si>
    <t xml:space="preserve">0,030 - 0,065</t>
  </si>
  <si>
    <t xml:space="preserve">C  3,643  %  ASTM E1999</t>
  </si>
  <si>
    <t xml:space="preserve">3,5 - 3,9</t>
  </si>
  <si>
    <t xml:space="preserve">Si  2,674  %  ASTM E1999</t>
  </si>
  <si>
    <t xml:space="preserve">2,0 - 3,0</t>
  </si>
  <si>
    <t xml:space="preserve">Mn  0,352  %  ASTM E1999</t>
  </si>
  <si>
    <t xml:space="preserve">0,15 - 0,9</t>
  </si>
  <si>
    <t xml:space="preserve">P  0,049  %  ASTM E1999</t>
  </si>
  <si>
    <t xml:space="preserve">max. 0,1</t>
  </si>
  <si>
    <t xml:space="preserve">S  0,0072  %  ASTM E1999</t>
  </si>
  <si>
    <t xml:space="preserve">max. 0,03</t>
  </si>
  <si>
    <t xml:space="preserve">Cr  0,054  %  ASTM E1999</t>
  </si>
  <si>
    <t xml:space="preserve">Ni  0,025  %  ASTM E1999</t>
  </si>
  <si>
    <t xml:space="preserve">Cu  0,065  %  ASTM E1999</t>
  </si>
  <si>
    <t xml:space="preserve">V  &lt;0,0010  %  ASTM E1999</t>
  </si>
  <si>
    <t xml:space="preserve">*Mg  0,042  %  ASTM E1999</t>
  </si>
  <si>
    <t xml:space="preserve">C  3,649  %  ASTM E1999</t>
  </si>
  <si>
    <t xml:space="preserve">Si  2,650  %  ASTM E1999</t>
  </si>
  <si>
    <t xml:space="preserve">Mn  0,346  %  ASTM E1999</t>
  </si>
  <si>
    <t xml:space="preserve">S  0,0070  %  ASTM E1999</t>
  </si>
  <si>
    <t xml:space="preserve">Cr  0,052  %  ASTM E1999</t>
  </si>
  <si>
    <t xml:space="preserve">Cu  0,066  %  ASTM E1999</t>
  </si>
  <si>
    <t xml:space="preserve">Ti  0,013  %  ASTM E1999</t>
  </si>
  <si>
    <t xml:space="preserve">C  3,682  %  ASTM E1999</t>
  </si>
  <si>
    <t xml:space="preserve">Si  2,613  %  ASTM E1999</t>
  </si>
  <si>
    <t xml:space="preserve">Mn  0,343  %  ASTM E1999</t>
  </si>
  <si>
    <t xml:space="preserve">P  0,046  %  ASTM E1999</t>
  </si>
  <si>
    <t xml:space="preserve">S  0,0062  %  ASTM E1999</t>
  </si>
  <si>
    <t xml:space="preserve">Cr  0,051  %  ASTM E1999</t>
  </si>
  <si>
    <t xml:space="preserve">Ni  0,024  %  ASTM E1999</t>
  </si>
  <si>
    <t xml:space="preserve">Cu  0,062  %  ASTM E1999</t>
  </si>
  <si>
    <t xml:space="preserve">Ti  0,012  %  ASTM E1999</t>
  </si>
  <si>
    <t xml:space="preserve">*Mg  0,040  %  ASTM E1999</t>
  </si>
  <si>
    <t xml:space="preserve">C  3,668  %  ASTM E1999</t>
  </si>
  <si>
    <t xml:space="preserve">Si  2,618  %  ASTM E1999</t>
  </si>
  <si>
    <t xml:space="preserve">Mn  0,344  %  ASTM E1999</t>
  </si>
  <si>
    <t xml:space="preserve">P  0,043  %  ASTM E1999</t>
  </si>
  <si>
    <t xml:space="preserve">Cu  0,059  %  ASTM E1999</t>
  </si>
  <si>
    <t xml:space="preserve">Ti  0,011  %  ASTM E1999</t>
  </si>
  <si>
    <t xml:space="preserve">*Mg  0,041  %  ASTM E1999</t>
  </si>
  <si>
    <t xml:space="preserve">C  3,688  %  ASTM E1999</t>
  </si>
  <si>
    <t xml:space="preserve">Si  2,636  %  ASTM E1999</t>
  </si>
  <si>
    <t xml:space="preserve">Mn  0,347  %  ASTM E1999</t>
  </si>
  <si>
    <t xml:space="preserve">P  0,042  %  ASTM E1999</t>
  </si>
  <si>
    <t xml:space="preserve">S  0,0065  %  ASTM E1999</t>
  </si>
  <si>
    <t xml:space="preserve">Ni  0,023  %  ASTM E1999</t>
  </si>
  <si>
    <t xml:space="preserve">Cu  0,061  %  ASTM E1999</t>
  </si>
  <si>
    <t xml:space="preserve">C  0,035  %  ASTM E1086</t>
  </si>
  <si>
    <t xml:space="preserve">Kilit Mekanizması Numune</t>
  </si>
  <si>
    <t xml:space="preserve">Si  0,383  %  ASTM E1086</t>
  </si>
  <si>
    <t xml:space="preserve">max. 1</t>
  </si>
  <si>
    <t xml:space="preserve">Mn  1,645  %  ASTM E1086</t>
  </si>
  <si>
    <t xml:space="preserve">max. 2</t>
  </si>
  <si>
    <t xml:space="preserve">P  0,037  %  ASTM E1086</t>
  </si>
  <si>
    <t xml:space="preserve">max. 0,05</t>
  </si>
  <si>
    <t xml:space="preserve">S  0,024  %  ASTM E1086</t>
  </si>
  <si>
    <t xml:space="preserve">Cr  18,49  %  ASTM E1086</t>
  </si>
  <si>
    <t xml:space="preserve">15 - 20</t>
  </si>
  <si>
    <t xml:space="preserve">Ni  8,256  %  ASTM E1086</t>
  </si>
  <si>
    <t xml:space="preserve">8 - 19</t>
  </si>
  <si>
    <t xml:space="preserve">Mo  0,246  %  ASTM E1086</t>
  </si>
  <si>
    <t xml:space="preserve">Cu  0,397  %  ASTM E1086</t>
  </si>
  <si>
    <t xml:space="preserve">max. 4</t>
  </si>
  <si>
    <t xml:space="preserve">Fe+Diğer  Kalan  %  ASTM E1086</t>
  </si>
  <si>
    <t xml:space="preserve">Si  0,381  %  ASTM E1086</t>
  </si>
  <si>
    <t xml:space="preserve">Mn  1,649  %  ASTM E1086</t>
  </si>
  <si>
    <t xml:space="preserve">P  0,038  %  ASTM E1086</t>
  </si>
  <si>
    <t xml:space="preserve">Cr  18,53  %  ASTM E1086</t>
  </si>
  <si>
    <t xml:space="preserve">Ni  8,241  %  ASTM E1086</t>
  </si>
  <si>
    <t xml:space="preserve">Cu  0,396  %  ASTM E1086</t>
  </si>
  <si>
    <t xml:space="preserve">Si  0,378  %  ASTM E1086</t>
  </si>
  <si>
    <t xml:space="preserve">Mn  1,667  %  ASTM E1086</t>
  </si>
  <si>
    <t xml:space="preserve">P  0,034  %  ASTM E1086</t>
  </si>
  <si>
    <t xml:space="preserve">S  0,022  %  ASTM E1086</t>
  </si>
  <si>
    <t xml:space="preserve">Cr  18,66  %  ASTM E1086</t>
  </si>
  <si>
    <t xml:space="preserve">Ni  8,158  %  ASTM E1086</t>
  </si>
  <si>
    <t xml:space="preserve">Mo  0,244  %  ASTM E1086</t>
  </si>
  <si>
    <t xml:space="preserve">Cu  0,399  %  ASTM E1086</t>
  </si>
  <si>
    <t xml:space="preserve">Si  0,384  %  ASTM E1086</t>
  </si>
  <si>
    <t xml:space="preserve">Mn  1,682  %  ASTM E1086</t>
  </si>
  <si>
    <t xml:space="preserve">P  0,035  %  ASTM E1086</t>
  </si>
  <si>
    <t xml:space="preserve">S  0,021  %  ASTM E1086</t>
  </si>
  <si>
    <t xml:space="preserve">Cr  18,72  %  ASTM E1086</t>
  </si>
  <si>
    <t xml:space="preserve">Ni  8,181  %  ASTM E1086</t>
  </si>
  <si>
    <t xml:space="preserve">Mo  0,245  %  ASTM E1086</t>
  </si>
  <si>
    <t xml:space="preserve">Cu  0,402  %  ASTM E1086</t>
  </si>
  <si>
    <t xml:space="preserve">C  0,028  %  ASTM E1086</t>
  </si>
  <si>
    <t xml:space="preserve">Si  0,386  %  ASTM E1086</t>
  </si>
  <si>
    <t xml:space="preserve">Mn  1,735  %  ASTM E1086</t>
  </si>
  <si>
    <t xml:space="preserve">P  0,032  %  ASTM E1086</t>
  </si>
  <si>
    <t xml:space="preserve">S  0,018  %  ASTM E1086</t>
  </si>
  <si>
    <t xml:space="preserve">Cr  18,43  %  ASTM E1086</t>
  </si>
  <si>
    <t xml:space="preserve">Ni  8,254  %  ASTM E1086</t>
  </si>
  <si>
    <t xml:space="preserve">Mo  0,247  %  ASTM E1086</t>
  </si>
  <si>
    <t xml:space="preserve">Cu  0,418  %  ASTM E1086</t>
  </si>
  <si>
    <t xml:space="preserve">C  0,029  %  ASTM E1086</t>
  </si>
  <si>
    <t xml:space="preserve">Si  0,390  %  ASTM E1086</t>
  </si>
  <si>
    <t xml:space="preserve">Mn  1,725  %  ASTM E1086</t>
  </si>
  <si>
    <t xml:space="preserve">S  0,019  %  ASTM E1086</t>
  </si>
  <si>
    <t xml:space="preserve">Cr  18,52  %  ASTM E1086</t>
  </si>
  <si>
    <t xml:space="preserve">Ni  8,278  %  ASTM E1086</t>
  </si>
  <si>
    <t xml:space="preserve">Mo  0,250  %  ASTM E1086</t>
  </si>
  <si>
    <t xml:space="preserve">Si  0,389  %  ASTM E1086</t>
  </si>
  <si>
    <t xml:space="preserve">Mn  1,740  %  ASTM E1086</t>
  </si>
  <si>
    <t xml:space="preserve">P  0,033  %  ASTM E1086</t>
  </si>
  <si>
    <t xml:space="preserve">S  0,017  %  ASTM E1086</t>
  </si>
  <si>
    <t xml:space="preserve">Cr  18,47  %  ASTM E1086</t>
  </si>
  <si>
    <t xml:space="preserve">Ni  8,167  %  ASTM E1086</t>
  </si>
  <si>
    <t xml:space="preserve">Mo  0,249  %  ASTM E1086</t>
  </si>
  <si>
    <t xml:space="preserve">Cu  0,419  %  ASTM E1086</t>
  </si>
  <si>
    <t xml:space="preserve">Mn  1,770  %  ASTM E1086</t>
  </si>
  <si>
    <t xml:space="preserve">P  0,031  %  ASTM E1086</t>
  </si>
  <si>
    <t xml:space="preserve">Cr  18,34  %  ASTM E1086</t>
  </si>
  <si>
    <t xml:space="preserve">Ni  8,246  %  ASTM E1086</t>
  </si>
  <si>
    <t xml:space="preserve">Cu  0,423  %  ASTM E1086</t>
  </si>
  <si>
    <t xml:space="preserve">Si  0,385  %  ASTM E1086</t>
  </si>
  <si>
    <t xml:space="preserve">Mn  1,783  %  ASTM E1086</t>
  </si>
  <si>
    <t xml:space="preserve">P  0,029  %  ASTM E1086</t>
  </si>
  <si>
    <t xml:space="preserve">S  0,016  %  ASTM E1086</t>
  </si>
  <si>
    <t xml:space="preserve">Cr  18,33  %  ASTM E1086</t>
  </si>
  <si>
    <t xml:space="preserve">Ni  8,215  %  ASTM E1086</t>
  </si>
  <si>
    <t xml:space="preserve">Mo  0,248  %  ASTM E1086</t>
  </si>
  <si>
    <t xml:space="preserve">Cu  0,425  %  ASTM E1086</t>
  </si>
  <si>
    <t xml:space="preserve">Si  0,393  %  ASTM E1086</t>
  </si>
  <si>
    <t xml:space="preserve">Mn  1,736  %  ASTM E1086</t>
  </si>
  <si>
    <t xml:space="preserve">Cr  18,28  %  ASTM E1086</t>
  </si>
  <si>
    <t xml:space="preserve">Ni  8,156  %  ASTM E1086</t>
  </si>
  <si>
    <t xml:space="preserve">Cu  0,420  %  ASTM E1086</t>
  </si>
  <si>
    <t xml:space="preserve">Si  0,395  %  ASTM E1086</t>
  </si>
  <si>
    <t xml:space="preserve">Ni  8,276  %  ASTM E1086</t>
  </si>
  <si>
    <t xml:space="preserve">Si  0,401  %  ASTM E1086</t>
  </si>
  <si>
    <t xml:space="preserve">Cr  18,36  %  ASTM E1086</t>
  </si>
  <si>
    <t xml:space="preserve">Ni  8,212  %  ASTM E1086</t>
  </si>
  <si>
    <t xml:space="preserve">Mo  0,243  %  ASTM E1086</t>
  </si>
  <si>
    <t xml:space="preserve">Cu  0,422  %  ASTM E1086</t>
  </si>
  <si>
    <t xml:space="preserve">Si  0,397  %  ASTM E1086</t>
  </si>
  <si>
    <t xml:space="preserve">Mn  1,754  %  ASTM E1086</t>
  </si>
  <si>
    <t xml:space="preserve">Cr  18,44  %  ASTM E1086</t>
  </si>
  <si>
    <t xml:space="preserve">Ni  8,178  %  ASTM E1086</t>
  </si>
  <si>
    <t xml:space="preserve">*Shore A 1,Ölçüm   66,00  Shore A  TS ISO 48-2</t>
  </si>
  <si>
    <t xml:space="preserve">65 - 70</t>
  </si>
  <si>
    <t xml:space="preserve">*Shore A 2,Ölçüm   67,00  Shore A  TS ISO 48-2</t>
  </si>
  <si>
    <t xml:space="preserve">*Shore A 3,Ölçüm   68,00  Shore A  TS ISO 48-2</t>
  </si>
  <si>
    <t xml:space="preserve">*Shore A 1,Ölçüm   68,00  Shore A  TS ISO 48-2</t>
  </si>
  <si>
    <t xml:space="preserve">*Shore A 2,Ölçüm   68,00  Shore A  TS ISO 48-2</t>
  </si>
  <si>
    <t xml:space="preserve">*Shore A 3,Ölçüm   66,00  Shore A  TS ISO 48-2</t>
  </si>
  <si>
    <t xml:space="preserve">*Shore A 1,Ölçüm   69,00  Shore A  TS ISO 48-2</t>
  </si>
  <si>
    <t xml:space="preserve">*Shore A 2,Ölçüm   70,00  Shore A  TS ISO 48-2</t>
  </si>
  <si>
    <t xml:space="preserve">*Shore A 3,Ölçüm   67,00  Shore A  TS ISO 48-2</t>
  </si>
  <si>
    <t xml:space="preserve">*Shore A 1,Ölçüm   67,00  Shore A  TS ISO 48-2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</si>
</sst>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0"/>
    <numFmt numFmtId="166" formatCode="#,##0"/>
    <numFmt numFmtId="167" formatCode="&quot;DOĞRU&quot;;&quot;DOĞRU&quot;;&quot;YANLIŞ&quot;"/>
    <numFmt numFmtId="168" formatCode="dd/mmm"/>
    <numFmt numFmtId="169" formatCode="@"/>
  </numFmts>
  <fonts count="8">
    <font>
      <sz val="10"/>
      <color theme="1"/>
      <name val="Calibri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b val="true"/>
      <sz val="11"/>
      <color rgb="FF9C6500"/>
      <name val="Calibri"/>
      <family val="2"/>
      <charset val="162"/>
    </font>
    <font>
      <sz val="10"/>
      <color rgb="FF9C6500"/>
      <name val="Calibri"/>
      <family val="2"/>
      <charset val="162"/>
    </font>
    <font>
      <sz val="10"/>
      <name val="Arial"/>
      <family val="2"/>
      <charset val="162"/>
    </font>
    <font>
      <sz val="9"/>
      <color rgb="FF000000"/>
      <name val="Tahoma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EB9C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0" applyFont="true" applyBorder="false" applyAlignment="true" applyProtection="false">
      <alignment horizontal="general" vertical="bottom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4" fillId="2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eutral" xfId="20"/>
  </cellStyles>
  <dxfs count="2">
    <dxf>
      <font>
        <name val="Calibri"/>
        <charset val="162"/>
        <family val="2"/>
        <color rgb="FFCC0000"/>
      </font>
      <fill>
        <patternFill>
          <bgColor rgb="FFFFCCCC"/>
        </patternFill>
      </fill>
      <alignment horizontal="general" vertical="bottom" textRotation="0" wrapText="false" indent="0" shrinkToFit="false"/>
    </dxf>
    <dxf>
      <font>
        <name val="Calibri"/>
        <charset val="162"/>
        <family val="2"/>
        <color rgb="FF006600"/>
      </font>
      <fill>
        <patternFill>
          <bgColor rgb="FFCCFFCC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eması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74609375" defaultRowHeight="12.75" customHeight="true" zeroHeight="false" outlineLevelRow="0" outlineLevelCol="0"/>
  <cols>
    <col collapsed="false" customWidth="true" hidden="false" outlineLevel="0" max="1" min="1" style="0" width="42.55"/>
    <col collapsed="false" customWidth="true" hidden="false" outlineLevel="0" max="2" min="2" style="1" width="29.55"/>
    <col collapsed="false" customWidth="true" hidden="false" outlineLevel="0" max="3" min="3" style="1" width="20.07"/>
    <col collapsed="false" customWidth="true" hidden="false" outlineLevel="0" max="5" min="4" style="2" width="11.77"/>
    <col collapsed="false" customWidth="true" hidden="false" outlineLevel="0" max="6" min="6" style="3" width="53.57"/>
    <col collapsed="false" customWidth="true" hidden="false" outlineLevel="0" max="7" min="7" style="0" width="18.95"/>
    <col collapsed="false" customWidth="true" hidden="false" outlineLevel="0" max="9" min="8" style="0" width="21.1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/>
      <c r="I1" s="4"/>
    </row>
    <row r="2" customFormat="false" ht="12.75" hidden="false" customHeight="false" outlineLevel="0" collapsed="false">
      <c r="A2" s="3" t="s">
        <v>7</v>
      </c>
      <c r="B2" s="1" t="n">
        <v>190</v>
      </c>
      <c r="C2" s="1" t="s">
        <v>8</v>
      </c>
      <c r="D2" s="6" t="n">
        <v>170</v>
      </c>
      <c r="E2" s="6" t="n">
        <v>230</v>
      </c>
      <c r="F2" s="3" t="s">
        <v>9</v>
      </c>
      <c r="G2" s="7" t="b">
        <f aca="false">AND(B2&gt;=D2,B2&lt;=E2)</f>
        <v>1</v>
      </c>
      <c r="H2" s="8"/>
    </row>
    <row r="3" customFormat="false" ht="12.75" hidden="false" customHeight="false" outlineLevel="0" collapsed="false">
      <c r="A3" s="3" t="s">
        <v>10</v>
      </c>
      <c r="B3" s="1" t="n">
        <v>194.2</v>
      </c>
      <c r="C3" s="1" t="s">
        <v>8</v>
      </c>
      <c r="D3" s="6" t="n">
        <v>170</v>
      </c>
      <c r="E3" s="6" t="n">
        <v>230</v>
      </c>
      <c r="F3" s="3" t="s">
        <v>9</v>
      </c>
      <c r="G3" s="7" t="n">
        <f aca="false">AND(B3&gt;=D3,B3&lt;=E3)</f>
        <v>1</v>
      </c>
    </row>
    <row r="4" customFormat="false" ht="12.75" hidden="false" customHeight="false" outlineLevel="0" collapsed="false">
      <c r="A4" s="3" t="s">
        <v>11</v>
      </c>
      <c r="B4" s="1" t="n">
        <v>192.7</v>
      </c>
      <c r="C4" s="1" t="s">
        <v>8</v>
      </c>
      <c r="D4" s="6" t="n">
        <v>170</v>
      </c>
      <c r="E4" s="6" t="n">
        <v>230</v>
      </c>
      <c r="F4" s="3" t="s">
        <v>9</v>
      </c>
      <c r="G4" s="7" t="n">
        <f aca="false">AND(B4&gt;=D4,B4&lt;=E4)</f>
        <v>1</v>
      </c>
    </row>
    <row r="5" customFormat="false" ht="12.75" hidden="false" customHeight="false" outlineLevel="0" collapsed="false">
      <c r="A5" s="3" t="s">
        <v>12</v>
      </c>
      <c r="B5" s="1" t="n">
        <v>191.3</v>
      </c>
      <c r="C5" s="1" t="s">
        <v>8</v>
      </c>
      <c r="D5" s="6" t="n">
        <v>170</v>
      </c>
      <c r="E5" s="6" t="n">
        <v>230</v>
      </c>
      <c r="F5" s="3" t="s">
        <v>9</v>
      </c>
      <c r="G5" s="7" t="n">
        <f aca="false">AND(B5&gt;=D5,B5&lt;=E5)</f>
        <v>1</v>
      </c>
    </row>
    <row r="6" customFormat="false" ht="12.75" hidden="false" customHeight="false" outlineLevel="0" collapsed="false">
      <c r="A6" s="3" t="s">
        <v>13</v>
      </c>
      <c r="B6" s="1" t="n">
        <v>191.5</v>
      </c>
      <c r="C6" s="1" t="s">
        <v>8</v>
      </c>
      <c r="D6" s="6" t="n">
        <v>170</v>
      </c>
      <c r="E6" s="6" t="n">
        <v>230</v>
      </c>
      <c r="F6" s="3" t="s">
        <v>9</v>
      </c>
      <c r="G6" s="7" t="n">
        <f aca="false">AND(B6&gt;=D6,B6&lt;=E6)</f>
        <v>1</v>
      </c>
    </row>
    <row r="7" customFormat="false" ht="12.75" hidden="false" customHeight="false" outlineLevel="0" collapsed="false">
      <c r="A7" s="3" t="s">
        <v>14</v>
      </c>
      <c r="B7" s="1" t="n">
        <v>192.1</v>
      </c>
      <c r="C7" s="1" t="s">
        <v>8</v>
      </c>
      <c r="D7" s="6" t="n">
        <v>170</v>
      </c>
      <c r="E7" s="6" t="n">
        <v>230</v>
      </c>
      <c r="F7" s="3" t="s">
        <v>9</v>
      </c>
      <c r="G7" s="7" t="n">
        <f aca="false">AND(B7&gt;=D7,B7&lt;=E7)</f>
        <v>1</v>
      </c>
    </row>
    <row r="8" customFormat="false" ht="12.75" hidden="false" customHeight="false" outlineLevel="0" collapsed="false">
      <c r="A8" s="3" t="s">
        <v>15</v>
      </c>
      <c r="B8" s="1" t="n">
        <v>193.4</v>
      </c>
      <c r="C8" s="1" t="s">
        <v>8</v>
      </c>
      <c r="D8" s="6" t="n">
        <v>170</v>
      </c>
      <c r="E8" s="6" t="n">
        <v>230</v>
      </c>
      <c r="F8" s="3" t="s">
        <v>9</v>
      </c>
      <c r="G8" s="7" t="n">
        <f aca="false">AND(B8&gt;=D8,B8&lt;=E8)</f>
        <v>1</v>
      </c>
    </row>
    <row r="9" customFormat="false" ht="12.75" hidden="false" customHeight="false" outlineLevel="0" collapsed="false">
      <c r="A9" s="3" t="s">
        <v>16</v>
      </c>
      <c r="B9" s="1" t="n">
        <v>193.2</v>
      </c>
      <c r="C9" s="1" t="s">
        <v>8</v>
      </c>
      <c r="D9" s="6" t="n">
        <v>170</v>
      </c>
      <c r="E9" s="6" t="n">
        <v>230</v>
      </c>
      <c r="F9" s="3" t="s">
        <v>9</v>
      </c>
      <c r="G9" s="7" t="n">
        <f aca="false">AND(B9&gt;=D9,B9&lt;=E9)</f>
        <v>1</v>
      </c>
    </row>
    <row r="10" customFormat="false" ht="12.75" hidden="false" customHeight="false" outlineLevel="0" collapsed="false">
      <c r="A10" s="3" t="s">
        <v>17</v>
      </c>
      <c r="B10" s="1" t="n">
        <v>193.8</v>
      </c>
      <c r="C10" s="1" t="s">
        <v>8</v>
      </c>
      <c r="D10" s="6" t="n">
        <v>170</v>
      </c>
      <c r="E10" s="6" t="n">
        <v>230</v>
      </c>
      <c r="F10" s="3" t="s">
        <v>9</v>
      </c>
      <c r="G10" s="7" t="n">
        <f aca="false">AND(B10&gt;=D10,B10&lt;=E10)</f>
        <v>1</v>
      </c>
    </row>
    <row r="11" customFormat="false" ht="12.75" hidden="false" customHeight="false" outlineLevel="0" collapsed="false">
      <c r="A11" s="3" t="s">
        <v>18</v>
      </c>
      <c r="B11" s="1" t="n">
        <v>194.5</v>
      </c>
      <c r="C11" s="1" t="s">
        <v>8</v>
      </c>
      <c r="D11" s="6" t="n">
        <v>170</v>
      </c>
      <c r="E11" s="6" t="n">
        <v>230</v>
      </c>
      <c r="F11" s="3" t="s">
        <v>9</v>
      </c>
      <c r="G11" s="7" t="n">
        <f aca="false">AND(B11&gt;=D11,B11&lt;=E11)</f>
        <v>1</v>
      </c>
    </row>
    <row r="12" customFormat="false" ht="12.75" hidden="false" customHeight="false" outlineLevel="0" collapsed="false">
      <c r="A12" s="3" t="s">
        <v>19</v>
      </c>
      <c r="B12" s="1" t="n">
        <v>195.1</v>
      </c>
      <c r="C12" s="1" t="s">
        <v>8</v>
      </c>
      <c r="D12" s="6" t="n">
        <v>170</v>
      </c>
      <c r="E12" s="6" t="n">
        <v>230</v>
      </c>
      <c r="F12" s="3" t="s">
        <v>9</v>
      </c>
      <c r="G12" s="7" t="n">
        <f aca="false">AND(B12&gt;=D12,B12&lt;=E12)</f>
        <v>1</v>
      </c>
    </row>
    <row r="13" customFormat="false" ht="12.75" hidden="false" customHeight="false" outlineLevel="0" collapsed="false">
      <c r="A13" s="3" t="s">
        <v>20</v>
      </c>
      <c r="B13" s="1" t="n">
        <v>194.4</v>
      </c>
      <c r="C13" s="1" t="s">
        <v>8</v>
      </c>
      <c r="D13" s="6" t="n">
        <v>170</v>
      </c>
      <c r="E13" s="6" t="n">
        <v>230</v>
      </c>
      <c r="F13" s="3" t="s">
        <v>9</v>
      </c>
      <c r="G13" s="7" t="n">
        <f aca="false">AND(B13&gt;=D13,B13&lt;=E13)</f>
        <v>1</v>
      </c>
    </row>
    <row r="14" customFormat="false" ht="12.75" hidden="false" customHeight="false" outlineLevel="0" collapsed="false">
      <c r="A14" s="3" t="s">
        <v>21</v>
      </c>
      <c r="B14" s="1" t="n">
        <v>192.6</v>
      </c>
      <c r="C14" s="1" t="s">
        <v>8</v>
      </c>
      <c r="D14" s="6" t="n">
        <v>170</v>
      </c>
      <c r="E14" s="6" t="n">
        <v>230</v>
      </c>
      <c r="F14" s="3" t="s">
        <v>9</v>
      </c>
      <c r="G14" s="7" t="n">
        <f aca="false">AND(B14&gt;=D14,B14&lt;=E14)</f>
        <v>1</v>
      </c>
    </row>
    <row r="15" customFormat="false" ht="12.75" hidden="false" customHeight="false" outlineLevel="0" collapsed="false">
      <c r="A15" s="3" t="s">
        <v>22</v>
      </c>
      <c r="B15" s="1" t="n">
        <v>192.8</v>
      </c>
      <c r="C15" s="1" t="s">
        <v>8</v>
      </c>
      <c r="D15" s="6" t="n">
        <v>170</v>
      </c>
      <c r="E15" s="6" t="n">
        <v>230</v>
      </c>
      <c r="F15" s="3" t="s">
        <v>9</v>
      </c>
      <c r="G15" s="7" t="n">
        <f aca="false">AND(B15&gt;=D15,B15&lt;=E15)</f>
        <v>1</v>
      </c>
    </row>
    <row r="16" customFormat="false" ht="12.75" hidden="false" customHeight="false" outlineLevel="0" collapsed="false">
      <c r="A16" s="3" t="s">
        <v>23</v>
      </c>
      <c r="B16" s="1" t="n">
        <v>191.9</v>
      </c>
      <c r="C16" s="1" t="s">
        <v>8</v>
      </c>
      <c r="D16" s="6" t="n">
        <v>170</v>
      </c>
      <c r="E16" s="6" t="n">
        <v>230</v>
      </c>
      <c r="F16" s="3" t="s">
        <v>9</v>
      </c>
      <c r="G16" s="7" t="n">
        <f aca="false">AND(B16&gt;=D16,B16&lt;=E16)</f>
        <v>1</v>
      </c>
    </row>
    <row r="17" customFormat="false" ht="12.75" hidden="false" customHeight="false" outlineLevel="0" collapsed="false">
      <c r="A17" s="3" t="s">
        <v>24</v>
      </c>
      <c r="B17" s="1" t="n">
        <v>341</v>
      </c>
      <c r="C17" s="1" t="s">
        <v>25</v>
      </c>
      <c r="D17" s="6" t="n">
        <v>320</v>
      </c>
      <c r="E17" s="9"/>
      <c r="F17" s="3" t="s">
        <v>9</v>
      </c>
      <c r="G17" s="7" t="b">
        <f aca="false">B17&gt;=D17</f>
        <v>1</v>
      </c>
    </row>
    <row r="18" customFormat="false" ht="12.75" hidden="false" customHeight="false" outlineLevel="0" collapsed="false">
      <c r="A18" s="3" t="s">
        <v>26</v>
      </c>
      <c r="B18" s="1" t="n">
        <v>347</v>
      </c>
      <c r="C18" s="1" t="s">
        <v>25</v>
      </c>
      <c r="D18" s="6" t="n">
        <v>320</v>
      </c>
      <c r="E18" s="9"/>
      <c r="F18" s="3" t="s">
        <v>9</v>
      </c>
      <c r="G18" s="7" t="n">
        <f aca="false">B18&gt;=D18</f>
        <v>1</v>
      </c>
    </row>
    <row r="19" customFormat="false" ht="12.75" hidden="false" customHeight="false" outlineLevel="0" collapsed="false">
      <c r="A19" s="3" t="s">
        <v>27</v>
      </c>
      <c r="B19" s="1" t="n">
        <v>339</v>
      </c>
      <c r="C19" s="1" t="s">
        <v>25</v>
      </c>
      <c r="D19" s="6" t="n">
        <v>320</v>
      </c>
      <c r="E19" s="9"/>
      <c r="F19" s="3" t="s">
        <v>9</v>
      </c>
      <c r="G19" s="7" t="n">
        <f aca="false">B19&gt;=D19</f>
        <v>1</v>
      </c>
    </row>
    <row r="20" customFormat="false" ht="12.75" hidden="false" customHeight="false" outlineLevel="0" collapsed="false">
      <c r="A20" s="3" t="s">
        <v>28</v>
      </c>
      <c r="B20" s="1" t="n">
        <v>351</v>
      </c>
      <c r="C20" s="1" t="s">
        <v>25</v>
      </c>
      <c r="D20" s="6" t="n">
        <v>320</v>
      </c>
      <c r="E20" s="9"/>
      <c r="F20" s="3" t="s">
        <v>9</v>
      </c>
      <c r="G20" s="7" t="n">
        <f aca="false">B20&gt;=D20</f>
        <v>1</v>
      </c>
    </row>
    <row r="21" customFormat="false" ht="12.75" hidden="false" customHeight="false" outlineLevel="0" collapsed="false">
      <c r="A21" s="3" t="s">
        <v>29</v>
      </c>
      <c r="B21" s="1" t="n">
        <v>335</v>
      </c>
      <c r="C21" s="1" t="s">
        <v>25</v>
      </c>
      <c r="D21" s="6" t="n">
        <v>320</v>
      </c>
      <c r="E21" s="9"/>
      <c r="F21" s="3" t="s">
        <v>9</v>
      </c>
      <c r="G21" s="7" t="n">
        <f aca="false">B21&gt;=D21</f>
        <v>1</v>
      </c>
    </row>
    <row r="22" customFormat="false" ht="12.75" hidden="false" customHeight="false" outlineLevel="0" collapsed="false">
      <c r="A22" s="3" t="s">
        <v>30</v>
      </c>
      <c r="B22" s="1" t="n">
        <v>502</v>
      </c>
      <c r="C22" s="1" t="s">
        <v>31</v>
      </c>
      <c r="D22" s="6" t="n">
        <v>450</v>
      </c>
      <c r="E22" s="9"/>
      <c r="F22" s="3" t="s">
        <v>32</v>
      </c>
      <c r="G22" s="7" t="n">
        <f aca="false">B22&gt;=D22</f>
        <v>1</v>
      </c>
    </row>
    <row r="23" customFormat="false" ht="12.75" hidden="false" customHeight="false" outlineLevel="0" collapsed="false">
      <c r="A23" s="3" t="s">
        <v>33</v>
      </c>
      <c r="B23" s="1" t="n">
        <v>510</v>
      </c>
      <c r="C23" s="1" t="s">
        <v>31</v>
      </c>
      <c r="D23" s="6" t="n">
        <v>450</v>
      </c>
      <c r="E23" s="9"/>
      <c r="F23" s="3" t="s">
        <v>32</v>
      </c>
      <c r="G23" s="7" t="n">
        <f aca="false">B23&gt;=D23</f>
        <v>1</v>
      </c>
    </row>
    <row r="24" customFormat="false" ht="12.75" hidden="false" customHeight="false" outlineLevel="0" collapsed="false">
      <c r="A24" s="3" t="s">
        <v>34</v>
      </c>
      <c r="B24" s="1" t="n">
        <v>497</v>
      </c>
      <c r="C24" s="1" t="s">
        <v>31</v>
      </c>
      <c r="D24" s="6" t="n">
        <v>450</v>
      </c>
      <c r="E24" s="9"/>
      <c r="F24" s="3" t="s">
        <v>32</v>
      </c>
      <c r="G24" s="7" t="n">
        <f aca="false">B24&gt;=D24</f>
        <v>1</v>
      </c>
    </row>
    <row r="25" customFormat="false" ht="12.75" hidden="false" customHeight="false" outlineLevel="0" collapsed="false">
      <c r="A25" s="3" t="s">
        <v>35</v>
      </c>
      <c r="B25" s="1" t="n">
        <v>505</v>
      </c>
      <c r="C25" s="1" t="s">
        <v>31</v>
      </c>
      <c r="D25" s="6" t="n">
        <v>450</v>
      </c>
      <c r="E25" s="9"/>
      <c r="F25" s="3" t="s">
        <v>32</v>
      </c>
      <c r="G25" s="7" t="n">
        <f aca="false">B25&gt;=D25</f>
        <v>1</v>
      </c>
    </row>
    <row r="26" customFormat="false" ht="12.75" hidden="false" customHeight="false" outlineLevel="0" collapsed="false">
      <c r="A26" s="3" t="s">
        <v>36</v>
      </c>
      <c r="B26" s="1" t="n">
        <v>514</v>
      </c>
      <c r="C26" s="1" t="s">
        <v>31</v>
      </c>
      <c r="D26" s="6" t="n">
        <v>450</v>
      </c>
      <c r="E26" s="9"/>
      <c r="F26" s="3" t="s">
        <v>32</v>
      </c>
      <c r="G26" s="7" t="n">
        <f aca="false">B26&gt;=D26</f>
        <v>1</v>
      </c>
    </row>
    <row r="27" customFormat="false" ht="12.75" hidden="false" customHeight="false" outlineLevel="0" collapsed="false">
      <c r="A27" s="3" t="s">
        <v>37</v>
      </c>
      <c r="B27" s="1" t="n">
        <v>519</v>
      </c>
      <c r="C27" s="1" t="s">
        <v>38</v>
      </c>
      <c r="D27" s="6" t="n">
        <v>500</v>
      </c>
      <c r="E27" s="9"/>
      <c r="F27" s="3" t="s">
        <v>9</v>
      </c>
      <c r="G27" s="7" t="n">
        <f aca="false">B27&gt;=D27</f>
        <v>1</v>
      </c>
    </row>
    <row r="28" customFormat="false" ht="12.75" hidden="false" customHeight="false" outlineLevel="0" collapsed="false">
      <c r="A28" s="3" t="s">
        <v>39</v>
      </c>
      <c r="B28" s="1" t="n">
        <v>535</v>
      </c>
      <c r="C28" s="1" t="s">
        <v>38</v>
      </c>
      <c r="D28" s="6" t="n">
        <v>500</v>
      </c>
      <c r="E28" s="9"/>
      <c r="F28" s="3" t="s">
        <v>9</v>
      </c>
      <c r="G28" s="7" t="n">
        <f aca="false">B28&gt;=D28</f>
        <v>1</v>
      </c>
    </row>
    <row r="29" customFormat="false" ht="12.75" hidden="false" customHeight="false" outlineLevel="0" collapsed="false">
      <c r="A29" s="3" t="s">
        <v>40</v>
      </c>
      <c r="B29" s="1" t="n">
        <v>523</v>
      </c>
      <c r="C29" s="1" t="s">
        <v>38</v>
      </c>
      <c r="D29" s="6" t="n">
        <v>500</v>
      </c>
      <c r="E29" s="9"/>
      <c r="F29" s="3" t="s">
        <v>9</v>
      </c>
      <c r="G29" s="7" t="n">
        <f aca="false">B29&gt;=D29</f>
        <v>1</v>
      </c>
    </row>
    <row r="30" customFormat="false" ht="12.75" hidden="false" customHeight="false" outlineLevel="0" collapsed="false">
      <c r="A30" s="3" t="s">
        <v>41</v>
      </c>
      <c r="B30" s="1" t="n">
        <v>540</v>
      </c>
      <c r="C30" s="1" t="s">
        <v>38</v>
      </c>
      <c r="D30" s="6" t="n">
        <v>500</v>
      </c>
      <c r="E30" s="9"/>
      <c r="F30" s="3" t="s">
        <v>9</v>
      </c>
      <c r="G30" s="7" t="n">
        <f aca="false">B30&gt;=D30</f>
        <v>1</v>
      </c>
    </row>
    <row r="31" customFormat="false" ht="12.75" hidden="false" customHeight="false" outlineLevel="0" collapsed="false">
      <c r="A31" s="3" t="s">
        <v>42</v>
      </c>
      <c r="B31" s="1" t="n">
        <v>531</v>
      </c>
      <c r="C31" s="1" t="s">
        <v>38</v>
      </c>
      <c r="D31" s="6" t="n">
        <v>500</v>
      </c>
      <c r="E31" s="9"/>
      <c r="F31" s="3" t="s">
        <v>9</v>
      </c>
      <c r="G31" s="7" t="n">
        <f aca="false">B31&gt;=D31</f>
        <v>1</v>
      </c>
    </row>
    <row r="32" customFormat="false" ht="12.75" hidden="false" customHeight="false" outlineLevel="0" collapsed="false">
      <c r="A32" s="3" t="s">
        <v>43</v>
      </c>
      <c r="B32" s="1" t="n">
        <v>765</v>
      </c>
      <c r="C32" s="1" t="s">
        <v>44</v>
      </c>
      <c r="D32" s="6" t="n">
        <v>700</v>
      </c>
      <c r="E32" s="9"/>
      <c r="F32" s="3" t="s">
        <v>45</v>
      </c>
      <c r="G32" s="7" t="n">
        <f aca="false">B32&gt;=D32</f>
        <v>1</v>
      </c>
    </row>
    <row r="33" customFormat="false" ht="12.75" hidden="false" customHeight="false" outlineLevel="0" collapsed="false">
      <c r="A33" s="3" t="s">
        <v>46</v>
      </c>
      <c r="B33" s="1" t="n">
        <v>759</v>
      </c>
      <c r="C33" s="1" t="s">
        <v>44</v>
      </c>
      <c r="D33" s="6" t="n">
        <v>700</v>
      </c>
      <c r="E33" s="9"/>
      <c r="F33" s="3" t="s">
        <v>45</v>
      </c>
      <c r="G33" s="7" t="n">
        <f aca="false">B33&gt;=D33</f>
        <v>1</v>
      </c>
    </row>
    <row r="34" customFormat="false" ht="12.75" hidden="false" customHeight="false" outlineLevel="0" collapsed="false">
      <c r="A34" s="3" t="s">
        <v>47</v>
      </c>
      <c r="B34" s="1" t="n">
        <v>755</v>
      </c>
      <c r="C34" s="1" t="s">
        <v>44</v>
      </c>
      <c r="D34" s="6" t="n">
        <v>700</v>
      </c>
      <c r="E34" s="9"/>
      <c r="F34" s="3" t="s">
        <v>45</v>
      </c>
      <c r="G34" s="7" t="n">
        <f aca="false">B34&gt;=D34</f>
        <v>1</v>
      </c>
    </row>
    <row r="35" customFormat="false" ht="12.75" hidden="false" customHeight="false" outlineLevel="0" collapsed="false">
      <c r="A35" s="3" t="s">
        <v>48</v>
      </c>
      <c r="B35" s="1" t="n">
        <v>760</v>
      </c>
      <c r="C35" s="1" t="s">
        <v>44</v>
      </c>
      <c r="D35" s="6" t="n">
        <v>700</v>
      </c>
      <c r="E35" s="9"/>
      <c r="F35" s="3" t="s">
        <v>45</v>
      </c>
      <c r="G35" s="7" t="n">
        <f aca="false">B35&gt;=D35</f>
        <v>1</v>
      </c>
    </row>
    <row r="36" customFormat="false" ht="12.75" hidden="false" customHeight="false" outlineLevel="0" collapsed="false">
      <c r="A36" s="3" t="s">
        <v>49</v>
      </c>
      <c r="B36" s="1" t="n">
        <v>770</v>
      </c>
      <c r="C36" s="1" t="s">
        <v>44</v>
      </c>
      <c r="D36" s="6" t="n">
        <v>700</v>
      </c>
      <c r="E36" s="9"/>
      <c r="F36" s="3" t="s">
        <v>45</v>
      </c>
      <c r="G36" s="7" t="n">
        <f aca="false">B36&gt;=D36</f>
        <v>1</v>
      </c>
    </row>
    <row r="37" customFormat="false" ht="12.75" hidden="false" customHeight="false" outlineLevel="0" collapsed="false">
      <c r="A37" s="3" t="s">
        <v>50</v>
      </c>
      <c r="B37" s="1" t="n">
        <v>12.5</v>
      </c>
      <c r="C37" s="1" t="s">
        <v>51</v>
      </c>
      <c r="D37" s="6" t="n">
        <v>7</v>
      </c>
      <c r="E37" s="6"/>
      <c r="F37" s="3" t="s">
        <v>9</v>
      </c>
      <c r="G37" s="7" t="n">
        <f aca="false">B37&gt;=D37</f>
        <v>1</v>
      </c>
    </row>
    <row r="38" customFormat="false" ht="12.75" hidden="false" customHeight="false" outlineLevel="0" collapsed="false">
      <c r="A38" s="3" t="s">
        <v>52</v>
      </c>
      <c r="B38" s="1" t="n">
        <v>11</v>
      </c>
      <c r="C38" s="1" t="s">
        <v>51</v>
      </c>
      <c r="D38" s="6" t="n">
        <v>7</v>
      </c>
      <c r="E38" s="6"/>
      <c r="F38" s="3" t="s">
        <v>9</v>
      </c>
      <c r="G38" s="7" t="n">
        <f aca="false">B38&gt;=D38</f>
        <v>1</v>
      </c>
    </row>
    <row r="39" customFormat="false" ht="12.75" hidden="false" customHeight="false" outlineLevel="0" collapsed="false">
      <c r="A39" s="3" t="s">
        <v>53</v>
      </c>
      <c r="B39" s="1" t="n">
        <v>9</v>
      </c>
      <c r="C39" s="1" t="s">
        <v>51</v>
      </c>
      <c r="D39" s="6" t="n">
        <v>7</v>
      </c>
      <c r="E39" s="6"/>
      <c r="F39" s="3" t="s">
        <v>9</v>
      </c>
      <c r="G39" s="7" t="n">
        <f aca="false">B39&gt;=D39</f>
        <v>1</v>
      </c>
    </row>
    <row r="40" customFormat="false" ht="12.75" hidden="false" customHeight="false" outlineLevel="0" collapsed="false">
      <c r="A40" s="3" t="s">
        <v>54</v>
      </c>
      <c r="B40" s="1" t="n">
        <v>11.5</v>
      </c>
      <c r="C40" s="1" t="s">
        <v>51</v>
      </c>
      <c r="D40" s="6" t="n">
        <v>7</v>
      </c>
      <c r="E40" s="6"/>
      <c r="F40" s="3" t="s">
        <v>9</v>
      </c>
      <c r="G40" s="7" t="n">
        <f aca="false">B40&gt;=D40</f>
        <v>1</v>
      </c>
    </row>
    <row r="41" customFormat="false" ht="12.75" hidden="false" customHeight="false" outlineLevel="0" collapsed="false">
      <c r="A41" s="3" t="s">
        <v>55</v>
      </c>
      <c r="B41" s="1" t="n">
        <v>10</v>
      </c>
      <c r="C41" s="1" t="s">
        <v>51</v>
      </c>
      <c r="D41" s="6" t="n">
        <v>7</v>
      </c>
      <c r="E41" s="6"/>
      <c r="F41" s="3" t="s">
        <v>9</v>
      </c>
      <c r="G41" s="7" t="n">
        <f aca="false">B41&gt;=D41</f>
        <v>1</v>
      </c>
    </row>
    <row r="42" customFormat="false" ht="12.75" hidden="false" customHeight="false" outlineLevel="0" collapsed="false">
      <c r="A42" s="3" t="s">
        <v>56</v>
      </c>
      <c r="B42" s="1" t="n">
        <v>41</v>
      </c>
      <c r="C42" s="1" t="s">
        <v>57</v>
      </c>
      <c r="F42" s="3" t="s">
        <v>45</v>
      </c>
      <c r="G42" s="7"/>
    </row>
    <row r="43" customFormat="false" ht="12.75" hidden="false" customHeight="false" outlineLevel="0" collapsed="false">
      <c r="A43" s="3" t="s">
        <v>58</v>
      </c>
      <c r="B43" s="1" t="n">
        <v>38.5</v>
      </c>
      <c r="C43" s="1" t="s">
        <v>57</v>
      </c>
      <c r="F43" s="3" t="s">
        <v>45</v>
      </c>
      <c r="G43" s="7"/>
    </row>
    <row r="44" customFormat="false" ht="12.75" hidden="false" customHeight="false" outlineLevel="0" collapsed="false">
      <c r="A44" s="3" t="s">
        <v>59</v>
      </c>
      <c r="B44" s="1" t="n">
        <v>40</v>
      </c>
      <c r="C44" s="1" t="s">
        <v>57</v>
      </c>
      <c r="F44" s="3" t="s">
        <v>45</v>
      </c>
      <c r="G44" s="7"/>
    </row>
    <row r="45" customFormat="false" ht="12.75" hidden="false" customHeight="false" outlineLevel="0" collapsed="false">
      <c r="A45" s="3" t="s">
        <v>56</v>
      </c>
      <c r="B45" s="1" t="n">
        <v>41</v>
      </c>
      <c r="C45" s="1" t="s">
        <v>57</v>
      </c>
      <c r="F45" s="3" t="s">
        <v>45</v>
      </c>
      <c r="G45" s="7"/>
    </row>
    <row r="46" customFormat="false" ht="12.75" hidden="false" customHeight="false" outlineLevel="0" collapsed="false">
      <c r="A46" s="3" t="s">
        <v>60</v>
      </c>
      <c r="B46" s="1" t="n">
        <v>42</v>
      </c>
      <c r="C46" s="1" t="s">
        <v>57</v>
      </c>
      <c r="F46" s="3" t="s">
        <v>45</v>
      </c>
      <c r="G46" s="7"/>
    </row>
    <row r="47" customFormat="false" ht="12.75" hidden="false" customHeight="false" outlineLevel="0" collapsed="false">
      <c r="A47" s="3" t="s">
        <v>61</v>
      </c>
      <c r="B47" s="1" t="n">
        <v>12</v>
      </c>
      <c r="C47" s="1" t="s">
        <v>62</v>
      </c>
      <c r="D47" s="6" t="n">
        <v>10</v>
      </c>
      <c r="E47" s="6"/>
      <c r="F47" s="3" t="s">
        <v>63</v>
      </c>
      <c r="G47" s="7" t="b">
        <f aca="false">B47&gt;=D47</f>
        <v>1</v>
      </c>
    </row>
    <row r="48" customFormat="false" ht="12.75" hidden="false" customHeight="false" outlineLevel="0" collapsed="false">
      <c r="A48" s="3" t="s">
        <v>64</v>
      </c>
      <c r="B48" s="1" t="n">
        <v>11</v>
      </c>
      <c r="C48" s="1" t="s">
        <v>62</v>
      </c>
      <c r="D48" s="6" t="n">
        <v>10</v>
      </c>
      <c r="E48" s="6"/>
      <c r="F48" s="3" t="s">
        <v>63</v>
      </c>
      <c r="G48" s="7" t="n">
        <f aca="false">B48&gt;=D48</f>
        <v>1</v>
      </c>
    </row>
    <row r="49" customFormat="false" ht="12.75" hidden="false" customHeight="false" outlineLevel="0" collapsed="false">
      <c r="A49" s="3" t="s">
        <v>65</v>
      </c>
      <c r="B49" s="1" t="n">
        <v>14</v>
      </c>
      <c r="C49" s="1" t="s">
        <v>62</v>
      </c>
      <c r="D49" s="6" t="n">
        <v>10</v>
      </c>
      <c r="E49" s="6"/>
      <c r="F49" s="3" t="s">
        <v>63</v>
      </c>
      <c r="G49" s="7" t="n">
        <f aca="false">B49&gt;=D49</f>
        <v>1</v>
      </c>
    </row>
    <row r="50" customFormat="false" ht="12.75" hidden="false" customHeight="false" outlineLevel="0" collapsed="false">
      <c r="A50" s="3" t="s">
        <v>66</v>
      </c>
      <c r="B50" s="1" t="n">
        <v>13</v>
      </c>
      <c r="C50" s="1" t="s">
        <v>62</v>
      </c>
      <c r="D50" s="6" t="n">
        <v>10</v>
      </c>
      <c r="E50" s="6"/>
      <c r="F50" s="3" t="s">
        <v>63</v>
      </c>
      <c r="G50" s="7" t="n">
        <f aca="false">B50&gt;=D50</f>
        <v>1</v>
      </c>
    </row>
    <row r="51" customFormat="false" ht="12.75" hidden="false" customHeight="false" outlineLevel="0" collapsed="false">
      <c r="A51" s="3" t="s">
        <v>67</v>
      </c>
      <c r="B51" s="1" t="n">
        <v>15</v>
      </c>
      <c r="C51" s="1" t="s">
        <v>62</v>
      </c>
      <c r="D51" s="6" t="n">
        <v>10</v>
      </c>
      <c r="E51" s="6"/>
      <c r="F51" s="3" t="s">
        <v>63</v>
      </c>
      <c r="G51" s="7" t="n">
        <f aca="false">B51&gt;=D51</f>
        <v>1</v>
      </c>
    </row>
    <row r="52" customFormat="false" ht="12.75" hidden="false" customHeight="false" outlineLevel="0" collapsed="false">
      <c r="A52" s="3" t="s">
        <v>68</v>
      </c>
      <c r="B52" s="1" t="n">
        <v>341</v>
      </c>
      <c r="C52" s="1" t="s">
        <v>69</v>
      </c>
      <c r="D52" s="6" t="n">
        <v>350</v>
      </c>
      <c r="E52" s="6"/>
      <c r="F52" s="3" t="s">
        <v>63</v>
      </c>
      <c r="G52" s="7" t="n">
        <f aca="false">B52&gt;=D52</f>
        <v>0</v>
      </c>
    </row>
    <row r="53" customFormat="false" ht="12.75" hidden="false" customHeight="false" outlineLevel="0" collapsed="false">
      <c r="A53" s="3" t="s">
        <v>70</v>
      </c>
      <c r="B53" s="1" t="n">
        <v>338</v>
      </c>
      <c r="C53" s="1" t="s">
        <v>69</v>
      </c>
      <c r="D53" s="6" t="n">
        <v>350</v>
      </c>
      <c r="E53" s="6"/>
      <c r="F53" s="3" t="s">
        <v>63</v>
      </c>
      <c r="G53" s="7" t="n">
        <f aca="false">B53&gt;=D53</f>
        <v>0</v>
      </c>
    </row>
    <row r="54" customFormat="false" ht="12.75" hidden="false" customHeight="false" outlineLevel="0" collapsed="false">
      <c r="A54" s="3" t="s">
        <v>71</v>
      </c>
      <c r="B54" s="1" t="n">
        <v>330</v>
      </c>
      <c r="C54" s="1" t="s">
        <v>69</v>
      </c>
      <c r="D54" s="6" t="n">
        <v>350</v>
      </c>
      <c r="E54" s="6"/>
      <c r="F54" s="3" t="s">
        <v>63</v>
      </c>
      <c r="G54" s="7" t="n">
        <f aca="false">B54&gt;=D54</f>
        <v>0</v>
      </c>
    </row>
    <row r="55" customFormat="false" ht="12.75" hidden="false" customHeight="false" outlineLevel="0" collapsed="false">
      <c r="A55" s="3" t="s">
        <v>72</v>
      </c>
      <c r="B55" s="1" t="n">
        <v>334</v>
      </c>
      <c r="C55" s="1" t="s">
        <v>69</v>
      </c>
      <c r="D55" s="6" t="n">
        <v>350</v>
      </c>
      <c r="E55" s="6"/>
      <c r="F55" s="3" t="s">
        <v>63</v>
      </c>
      <c r="G55" s="7" t="n">
        <f aca="false">B55&gt;=D55</f>
        <v>0</v>
      </c>
    </row>
    <row r="56" customFormat="false" ht="12.75" hidden="false" customHeight="false" outlineLevel="0" collapsed="false">
      <c r="A56" s="3" t="s">
        <v>73</v>
      </c>
      <c r="B56" s="1" t="n">
        <v>328</v>
      </c>
      <c r="C56" s="1" t="s">
        <v>69</v>
      </c>
      <c r="D56" s="6" t="n">
        <v>350</v>
      </c>
      <c r="E56" s="6"/>
      <c r="F56" s="3" t="s">
        <v>63</v>
      </c>
      <c r="G56" s="7" t="n">
        <f aca="false">B56&gt;=D56</f>
        <v>0</v>
      </c>
    </row>
    <row r="57" customFormat="false" ht="12.75" hidden="false" customHeight="false" outlineLevel="0" collapsed="false">
      <c r="A57" s="3" t="s">
        <v>74</v>
      </c>
      <c r="B57" s="1" t="n">
        <v>0.014</v>
      </c>
      <c r="F57" s="3" t="s">
        <v>75</v>
      </c>
      <c r="G57" s="7"/>
    </row>
    <row r="58" customFormat="false" ht="12.75" hidden="false" customHeight="false" outlineLevel="0" collapsed="false">
      <c r="A58" s="3" t="s">
        <v>76</v>
      </c>
      <c r="B58" s="1" t="n">
        <v>0.043</v>
      </c>
      <c r="C58" s="1" t="s">
        <v>77</v>
      </c>
      <c r="D58" s="2" t="n">
        <v>0.03</v>
      </c>
      <c r="E58" s="2" t="n">
        <v>0.065</v>
      </c>
      <c r="F58" s="3" t="s">
        <v>75</v>
      </c>
      <c r="G58" s="7" t="b">
        <f aca="false">AND(B58&gt;=D58,B58&lt;=E58)</f>
        <v>1</v>
      </c>
    </row>
    <row r="59" customFormat="false" ht="12.75" hidden="false" customHeight="false" outlineLevel="0" collapsed="false">
      <c r="A59" s="3" t="s">
        <v>78</v>
      </c>
      <c r="B59" s="1" t="n">
        <v>3.643</v>
      </c>
      <c r="C59" s="1" t="s">
        <v>79</v>
      </c>
      <c r="D59" s="2" t="n">
        <v>3.5</v>
      </c>
      <c r="E59" s="2" t="n">
        <v>3.9</v>
      </c>
      <c r="F59" s="3" t="s">
        <v>75</v>
      </c>
      <c r="G59" s="7" t="n">
        <f aca="false">AND(B59&gt;=D59,B59&lt;=E59)</f>
        <v>1</v>
      </c>
    </row>
    <row r="60" customFormat="false" ht="12.75" hidden="false" customHeight="false" outlineLevel="0" collapsed="false">
      <c r="A60" s="3" t="s">
        <v>80</v>
      </c>
      <c r="B60" s="1" t="n">
        <v>2.674</v>
      </c>
      <c r="C60" s="10" t="s">
        <v>81</v>
      </c>
      <c r="D60" s="2" t="n">
        <v>2</v>
      </c>
      <c r="E60" s="2" t="n">
        <v>3</v>
      </c>
      <c r="F60" s="3" t="s">
        <v>75</v>
      </c>
      <c r="G60" s="7" t="n">
        <f aca="false">AND(B60&gt;=D60,B60&lt;=E60)</f>
        <v>1</v>
      </c>
    </row>
    <row r="61" customFormat="false" ht="12.75" hidden="false" customHeight="false" outlineLevel="0" collapsed="false">
      <c r="A61" s="3" t="s">
        <v>82</v>
      </c>
      <c r="B61" s="1" t="n">
        <v>0.352</v>
      </c>
      <c r="C61" s="1" t="s">
        <v>83</v>
      </c>
      <c r="D61" s="2" t="n">
        <v>0.15</v>
      </c>
      <c r="E61" s="2" t="n">
        <v>0.9</v>
      </c>
      <c r="F61" s="3" t="s">
        <v>75</v>
      </c>
      <c r="G61" s="7" t="n">
        <f aca="false">AND(B61&gt;=D61,B61&lt;=E61)</f>
        <v>1</v>
      </c>
    </row>
    <row r="62" customFormat="false" ht="12.75" hidden="false" customHeight="false" outlineLevel="0" collapsed="false">
      <c r="A62" s="3" t="s">
        <v>84</v>
      </c>
      <c r="B62" s="1" t="n">
        <v>0.049</v>
      </c>
      <c r="C62" s="1" t="s">
        <v>85</v>
      </c>
      <c r="E62" s="2" t="n">
        <v>0.1</v>
      </c>
      <c r="F62" s="3" t="s">
        <v>75</v>
      </c>
      <c r="G62" s="7" t="n">
        <f aca="false">AND(B62&gt;=D62,B62&lt;=E62)</f>
        <v>1</v>
      </c>
    </row>
    <row r="63" customFormat="false" ht="12.75" hidden="false" customHeight="false" outlineLevel="0" collapsed="false">
      <c r="A63" s="3" t="s">
        <v>86</v>
      </c>
      <c r="B63" s="1" t="n">
        <v>0.0072</v>
      </c>
      <c r="C63" s="1" t="s">
        <v>87</v>
      </c>
      <c r="E63" s="2" t="n">
        <v>0.03</v>
      </c>
      <c r="F63" s="3" t="s">
        <v>75</v>
      </c>
      <c r="G63" s="7" t="n">
        <f aca="false">AND(B63&gt;=D63,B63&lt;=E63)</f>
        <v>1</v>
      </c>
    </row>
    <row r="64" customFormat="false" ht="12.75" hidden="false" customHeight="false" outlineLevel="0" collapsed="false">
      <c r="A64" s="3" t="s">
        <v>88</v>
      </c>
      <c r="B64" s="1" t="n">
        <v>0.054</v>
      </c>
      <c r="F64" s="3" t="s">
        <v>75</v>
      </c>
      <c r="G64" s="7"/>
    </row>
    <row r="65" customFormat="false" ht="12.75" hidden="false" customHeight="false" outlineLevel="0" collapsed="false">
      <c r="A65" s="3" t="s">
        <v>89</v>
      </c>
      <c r="B65" s="1" t="n">
        <v>0.025</v>
      </c>
      <c r="F65" s="3" t="s">
        <v>75</v>
      </c>
      <c r="G65" s="7"/>
    </row>
    <row r="66" customFormat="false" ht="12.75" hidden="false" customHeight="false" outlineLevel="0" collapsed="false">
      <c r="A66" s="3" t="s">
        <v>90</v>
      </c>
      <c r="B66" s="1" t="n">
        <v>0.065</v>
      </c>
      <c r="F66" s="3" t="s">
        <v>75</v>
      </c>
      <c r="G66" s="7"/>
    </row>
    <row r="67" customFormat="false" ht="12.75" hidden="false" customHeight="false" outlineLevel="0" collapsed="false">
      <c r="A67" s="3" t="s">
        <v>91</v>
      </c>
      <c r="B67" s="1" t="s">
        <v>91</v>
      </c>
      <c r="F67" s="3" t="s">
        <v>75</v>
      </c>
      <c r="G67" s="7"/>
    </row>
    <row r="68" customFormat="false" ht="12.75" hidden="false" customHeight="false" outlineLevel="0" collapsed="false">
      <c r="A68" s="3" t="s">
        <v>74</v>
      </c>
      <c r="B68" s="1" t="n">
        <v>0.014</v>
      </c>
      <c r="F68" s="3" t="s">
        <v>75</v>
      </c>
      <c r="G68" s="7"/>
    </row>
    <row r="69" customFormat="false" ht="12.75" hidden="false" customHeight="false" outlineLevel="0" collapsed="false">
      <c r="A69" s="3" t="s">
        <v>92</v>
      </c>
      <c r="B69" s="1" t="n">
        <v>0.042</v>
      </c>
      <c r="C69" s="1" t="s">
        <v>77</v>
      </c>
      <c r="D69" s="2" t="n">
        <v>0.03</v>
      </c>
      <c r="E69" s="2" t="n">
        <v>0.065</v>
      </c>
      <c r="F69" s="3" t="s">
        <v>75</v>
      </c>
      <c r="G69" s="7" t="b">
        <f aca="false">AND(B69&gt;=D69,B69&lt;=E69)</f>
        <v>1</v>
      </c>
    </row>
    <row r="70" customFormat="false" ht="12.75" hidden="false" customHeight="false" outlineLevel="0" collapsed="false">
      <c r="A70" s="3" t="s">
        <v>93</v>
      </c>
      <c r="B70" s="1" t="n">
        <v>3.649</v>
      </c>
      <c r="C70" s="1" t="s">
        <v>79</v>
      </c>
      <c r="D70" s="2" t="n">
        <v>3.5</v>
      </c>
      <c r="E70" s="2" t="n">
        <v>3.9</v>
      </c>
      <c r="F70" s="3" t="s">
        <v>75</v>
      </c>
      <c r="G70" s="7" t="n">
        <f aca="false">AND(B70&gt;=D70,B70&lt;=E70)</f>
        <v>1</v>
      </c>
    </row>
    <row r="71" customFormat="false" ht="12.75" hidden="false" customHeight="false" outlineLevel="0" collapsed="false">
      <c r="A71" s="3" t="s">
        <v>94</v>
      </c>
      <c r="B71" s="1" t="n">
        <v>2.65</v>
      </c>
      <c r="C71" s="10" t="s">
        <v>81</v>
      </c>
      <c r="D71" s="2" t="n">
        <v>2</v>
      </c>
      <c r="E71" s="2" t="n">
        <v>3</v>
      </c>
      <c r="F71" s="3" t="s">
        <v>75</v>
      </c>
      <c r="G71" s="7" t="n">
        <f aca="false">AND(B71&gt;=D71,B71&lt;=E71)</f>
        <v>1</v>
      </c>
    </row>
    <row r="72" customFormat="false" ht="12.75" hidden="false" customHeight="false" outlineLevel="0" collapsed="false">
      <c r="A72" s="3" t="s">
        <v>95</v>
      </c>
      <c r="B72" s="1" t="n">
        <v>0.346</v>
      </c>
      <c r="C72" s="1" t="s">
        <v>83</v>
      </c>
      <c r="D72" s="2" t="n">
        <v>0.15</v>
      </c>
      <c r="E72" s="2" t="n">
        <v>0.9</v>
      </c>
      <c r="F72" s="3" t="s">
        <v>75</v>
      </c>
      <c r="G72" s="7" t="n">
        <f aca="false">AND(B72&gt;=D72,B72&lt;=E72)</f>
        <v>1</v>
      </c>
    </row>
    <row r="73" customFormat="false" ht="12.75" hidden="false" customHeight="false" outlineLevel="0" collapsed="false">
      <c r="A73" s="3" t="s">
        <v>84</v>
      </c>
      <c r="B73" s="1" t="n">
        <v>0.049</v>
      </c>
      <c r="C73" s="1" t="s">
        <v>85</v>
      </c>
      <c r="E73" s="2" t="n">
        <v>0.1</v>
      </c>
      <c r="F73" s="3" t="s">
        <v>75</v>
      </c>
      <c r="G73" s="7" t="n">
        <f aca="false">AND(B73&gt;=D73,B73&lt;=E73)</f>
        <v>1</v>
      </c>
    </row>
    <row r="74" customFormat="false" ht="12.75" hidden="false" customHeight="false" outlineLevel="0" collapsed="false">
      <c r="A74" s="3" t="s">
        <v>96</v>
      </c>
      <c r="B74" s="1" t="n">
        <v>0.007</v>
      </c>
      <c r="C74" s="1" t="s">
        <v>87</v>
      </c>
      <c r="E74" s="2" t="n">
        <v>0.03</v>
      </c>
      <c r="F74" s="3" t="s">
        <v>75</v>
      </c>
      <c r="G74" s="7" t="n">
        <f aca="false">AND(B74&gt;=D74,B74&lt;=E74)</f>
        <v>1</v>
      </c>
    </row>
    <row r="75" customFormat="false" ht="12.75" hidden="false" customHeight="false" outlineLevel="0" collapsed="false">
      <c r="A75" s="3" t="s">
        <v>97</v>
      </c>
      <c r="B75" s="1" t="n">
        <v>0.052</v>
      </c>
      <c r="F75" s="3" t="s">
        <v>75</v>
      </c>
      <c r="G75" s="7"/>
    </row>
    <row r="76" customFormat="false" ht="12.75" hidden="false" customHeight="false" outlineLevel="0" collapsed="false">
      <c r="A76" s="3" t="s">
        <v>89</v>
      </c>
      <c r="B76" s="1" t="n">
        <v>0.025</v>
      </c>
      <c r="F76" s="3" t="s">
        <v>75</v>
      </c>
      <c r="G76" s="7"/>
    </row>
    <row r="77" customFormat="false" ht="12.75" hidden="false" customHeight="false" outlineLevel="0" collapsed="false">
      <c r="A77" s="3" t="s">
        <v>98</v>
      </c>
      <c r="B77" s="1" t="n">
        <v>0.066</v>
      </c>
      <c r="F77" s="3" t="s">
        <v>75</v>
      </c>
      <c r="G77" s="7"/>
    </row>
    <row r="78" customFormat="false" ht="12.75" hidden="false" customHeight="false" outlineLevel="0" collapsed="false">
      <c r="A78" s="3" t="s">
        <v>91</v>
      </c>
      <c r="B78" s="1" t="s">
        <v>91</v>
      </c>
      <c r="F78" s="3" t="s">
        <v>75</v>
      </c>
      <c r="G78" s="7"/>
    </row>
    <row r="79" customFormat="false" ht="12.75" hidden="false" customHeight="false" outlineLevel="0" collapsed="false">
      <c r="A79" s="3" t="s">
        <v>99</v>
      </c>
      <c r="B79" s="1" t="n">
        <v>0.013</v>
      </c>
      <c r="F79" s="3" t="s">
        <v>75</v>
      </c>
      <c r="G79" s="7"/>
    </row>
    <row r="80" customFormat="false" ht="12.75" hidden="false" customHeight="false" outlineLevel="0" collapsed="false">
      <c r="A80" s="3" t="s">
        <v>92</v>
      </c>
      <c r="B80" s="1" t="n">
        <v>0.042</v>
      </c>
      <c r="C80" s="1" t="s">
        <v>77</v>
      </c>
      <c r="D80" s="2" t="n">
        <v>0.03</v>
      </c>
      <c r="E80" s="2" t="n">
        <v>0.065</v>
      </c>
      <c r="F80" s="3" t="s">
        <v>75</v>
      </c>
      <c r="G80" s="7" t="b">
        <f aca="false">AND(B80&gt;=D80,B80&lt;=E80)</f>
        <v>1</v>
      </c>
    </row>
    <row r="81" customFormat="false" ht="12.75" hidden="false" customHeight="false" outlineLevel="0" collapsed="false">
      <c r="A81" s="3" t="s">
        <v>100</v>
      </c>
      <c r="B81" s="1" t="n">
        <v>3.682</v>
      </c>
      <c r="C81" s="1" t="s">
        <v>79</v>
      </c>
      <c r="D81" s="2" t="n">
        <v>3.5</v>
      </c>
      <c r="E81" s="2" t="n">
        <v>3.9</v>
      </c>
      <c r="F81" s="3" t="s">
        <v>75</v>
      </c>
      <c r="G81" s="7" t="n">
        <f aca="false">AND(B81&gt;=D81,B81&lt;=E81)</f>
        <v>1</v>
      </c>
    </row>
    <row r="82" customFormat="false" ht="12.75" hidden="false" customHeight="false" outlineLevel="0" collapsed="false">
      <c r="A82" s="3" t="s">
        <v>101</v>
      </c>
      <c r="B82" s="1" t="n">
        <v>2.613</v>
      </c>
      <c r="C82" s="10" t="s">
        <v>81</v>
      </c>
      <c r="D82" s="2" t="n">
        <v>2</v>
      </c>
      <c r="E82" s="2" t="n">
        <v>3</v>
      </c>
      <c r="F82" s="3" t="s">
        <v>75</v>
      </c>
      <c r="G82" s="7" t="n">
        <f aca="false">AND(B82&gt;=D82,B82&lt;=E82)</f>
        <v>1</v>
      </c>
    </row>
    <row r="83" customFormat="false" ht="12.75" hidden="false" customHeight="false" outlineLevel="0" collapsed="false">
      <c r="A83" s="3" t="s">
        <v>102</v>
      </c>
      <c r="B83" s="1" t="n">
        <v>0.343</v>
      </c>
      <c r="C83" s="1" t="s">
        <v>83</v>
      </c>
      <c r="D83" s="2" t="n">
        <v>0.15</v>
      </c>
      <c r="E83" s="2" t="n">
        <v>0.9</v>
      </c>
      <c r="F83" s="3" t="s">
        <v>75</v>
      </c>
      <c r="G83" s="7" t="n">
        <f aca="false">AND(B83&gt;=D83,B83&lt;=E83)</f>
        <v>1</v>
      </c>
    </row>
    <row r="84" customFormat="false" ht="12.75" hidden="false" customHeight="false" outlineLevel="0" collapsed="false">
      <c r="A84" s="3" t="s">
        <v>103</v>
      </c>
      <c r="B84" s="1" t="n">
        <v>0.046</v>
      </c>
      <c r="C84" s="1" t="s">
        <v>85</v>
      </c>
      <c r="E84" s="2" t="n">
        <v>0.1</v>
      </c>
      <c r="F84" s="3" t="s">
        <v>75</v>
      </c>
      <c r="G84" s="7" t="n">
        <f aca="false">AND(B84&gt;=D84,B84&lt;=E84)</f>
        <v>1</v>
      </c>
    </row>
    <row r="85" customFormat="false" ht="12.75" hidden="false" customHeight="false" outlineLevel="0" collapsed="false">
      <c r="A85" s="3" t="s">
        <v>104</v>
      </c>
      <c r="B85" s="1" t="n">
        <v>0.0062</v>
      </c>
      <c r="C85" s="1" t="s">
        <v>87</v>
      </c>
      <c r="E85" s="2" t="n">
        <v>0.03</v>
      </c>
      <c r="F85" s="3" t="s">
        <v>75</v>
      </c>
      <c r="G85" s="7" t="n">
        <f aca="false">AND(B85&gt;=D85,B85&lt;=E85)</f>
        <v>1</v>
      </c>
    </row>
    <row r="86" customFormat="false" ht="12.75" hidden="false" customHeight="false" outlineLevel="0" collapsed="false">
      <c r="A86" s="3" t="s">
        <v>105</v>
      </c>
      <c r="B86" s="1" t="n">
        <v>0.051</v>
      </c>
      <c r="F86" s="3" t="s">
        <v>75</v>
      </c>
      <c r="G86" s="7"/>
    </row>
    <row r="87" customFormat="false" ht="12.75" hidden="false" customHeight="false" outlineLevel="0" collapsed="false">
      <c r="A87" s="3" t="s">
        <v>106</v>
      </c>
      <c r="B87" s="1" t="n">
        <v>0.024</v>
      </c>
      <c r="F87" s="3" t="s">
        <v>75</v>
      </c>
      <c r="G87" s="7"/>
    </row>
    <row r="88" customFormat="false" ht="12.75" hidden="false" customHeight="false" outlineLevel="0" collapsed="false">
      <c r="A88" s="3" t="s">
        <v>107</v>
      </c>
      <c r="B88" s="1" t="n">
        <v>0.062</v>
      </c>
      <c r="F88" s="3" t="s">
        <v>75</v>
      </c>
      <c r="G88" s="7"/>
    </row>
    <row r="89" customFormat="false" ht="12.75" hidden="false" customHeight="false" outlineLevel="0" collapsed="false">
      <c r="A89" s="3" t="s">
        <v>91</v>
      </c>
      <c r="B89" s="1" t="s">
        <v>91</v>
      </c>
      <c r="F89" s="3" t="s">
        <v>75</v>
      </c>
      <c r="G89" s="7"/>
    </row>
    <row r="90" customFormat="false" ht="12.75" hidden="false" customHeight="false" outlineLevel="0" collapsed="false">
      <c r="A90" s="3" t="s">
        <v>108</v>
      </c>
      <c r="B90" s="1" t="n">
        <v>0.012</v>
      </c>
      <c r="F90" s="3" t="s">
        <v>75</v>
      </c>
      <c r="G90" s="7"/>
    </row>
    <row r="91" customFormat="false" ht="12.75" hidden="false" customHeight="false" outlineLevel="0" collapsed="false">
      <c r="A91" s="3" t="s">
        <v>109</v>
      </c>
      <c r="B91" s="1" t="n">
        <v>0.04</v>
      </c>
      <c r="C91" s="1" t="s">
        <v>77</v>
      </c>
      <c r="D91" s="2" t="n">
        <v>0.03</v>
      </c>
      <c r="E91" s="2" t="n">
        <v>0.065</v>
      </c>
      <c r="F91" s="3" t="s">
        <v>75</v>
      </c>
      <c r="G91" s="7" t="b">
        <f aca="false">AND(B91&gt;=D91,B91&lt;=E91)</f>
        <v>1</v>
      </c>
    </row>
    <row r="92" customFormat="false" ht="12.75" hidden="false" customHeight="false" outlineLevel="0" collapsed="false">
      <c r="A92" s="3" t="s">
        <v>110</v>
      </c>
      <c r="B92" s="1" t="n">
        <v>3.668</v>
      </c>
      <c r="C92" s="1" t="s">
        <v>79</v>
      </c>
      <c r="D92" s="2" t="n">
        <v>3.5</v>
      </c>
      <c r="E92" s="2" t="n">
        <v>3.9</v>
      </c>
      <c r="F92" s="3" t="s">
        <v>75</v>
      </c>
      <c r="G92" s="7" t="n">
        <f aca="false">AND(B92&gt;=D92,B92&lt;=E92)</f>
        <v>1</v>
      </c>
    </row>
    <row r="93" customFormat="false" ht="12.75" hidden="false" customHeight="false" outlineLevel="0" collapsed="false">
      <c r="A93" s="3" t="s">
        <v>111</v>
      </c>
      <c r="B93" s="1" t="n">
        <v>2.618</v>
      </c>
      <c r="C93" s="10" t="s">
        <v>81</v>
      </c>
      <c r="D93" s="2" t="n">
        <v>2</v>
      </c>
      <c r="E93" s="2" t="n">
        <v>3</v>
      </c>
      <c r="F93" s="3" t="s">
        <v>75</v>
      </c>
      <c r="G93" s="7" t="n">
        <f aca="false">AND(B93&gt;=D93,B93&lt;=E93)</f>
        <v>1</v>
      </c>
    </row>
    <row r="94" customFormat="false" ht="12.75" hidden="false" customHeight="false" outlineLevel="0" collapsed="false">
      <c r="A94" s="3" t="s">
        <v>112</v>
      </c>
      <c r="B94" s="1" t="n">
        <v>0.344</v>
      </c>
      <c r="C94" s="1" t="s">
        <v>83</v>
      </c>
      <c r="D94" s="2" t="n">
        <v>0.15</v>
      </c>
      <c r="E94" s="2" t="n">
        <v>0.9</v>
      </c>
      <c r="F94" s="3" t="s">
        <v>75</v>
      </c>
      <c r="G94" s="7" t="n">
        <f aca="false">AND(B94&gt;=D94,B94&lt;=E94)</f>
        <v>1</v>
      </c>
    </row>
    <row r="95" customFormat="false" ht="12.75" hidden="false" customHeight="false" outlineLevel="0" collapsed="false">
      <c r="A95" s="3" t="s">
        <v>113</v>
      </c>
      <c r="B95" s="1" t="n">
        <v>0.043</v>
      </c>
      <c r="C95" s="1" t="s">
        <v>85</v>
      </c>
      <c r="E95" s="2" t="n">
        <v>0.1</v>
      </c>
      <c r="F95" s="3" t="s">
        <v>75</v>
      </c>
      <c r="G95" s="7" t="n">
        <f aca="false">AND(B95&gt;=D95,B95&lt;=E95)</f>
        <v>1</v>
      </c>
    </row>
    <row r="96" customFormat="false" ht="12.75" hidden="false" customHeight="false" outlineLevel="0" collapsed="false">
      <c r="A96" s="3" t="s">
        <v>104</v>
      </c>
      <c r="B96" s="1" t="n">
        <v>0.0062</v>
      </c>
      <c r="C96" s="1" t="s">
        <v>87</v>
      </c>
      <c r="E96" s="2" t="n">
        <v>0.03</v>
      </c>
      <c r="F96" s="3" t="s">
        <v>75</v>
      </c>
      <c r="G96" s="7" t="n">
        <f aca="false">AND(B96&gt;=D96,B96&lt;=E96)</f>
        <v>1</v>
      </c>
    </row>
    <row r="97" customFormat="false" ht="12.75" hidden="false" customHeight="false" outlineLevel="0" collapsed="false">
      <c r="A97" s="3" t="s">
        <v>105</v>
      </c>
      <c r="B97" s="1" t="n">
        <v>0.051</v>
      </c>
      <c r="F97" s="3" t="s">
        <v>75</v>
      </c>
      <c r="G97" s="7"/>
    </row>
    <row r="98" customFormat="false" ht="12.75" hidden="false" customHeight="false" outlineLevel="0" collapsed="false">
      <c r="A98" s="3" t="s">
        <v>106</v>
      </c>
      <c r="B98" s="1" t="n">
        <v>0.024</v>
      </c>
      <c r="F98" s="3" t="s">
        <v>75</v>
      </c>
      <c r="G98" s="7"/>
    </row>
    <row r="99" customFormat="false" ht="12.75" hidden="false" customHeight="false" outlineLevel="0" collapsed="false">
      <c r="A99" s="3" t="s">
        <v>114</v>
      </c>
      <c r="B99" s="1" t="n">
        <v>0.059</v>
      </c>
      <c r="F99" s="3" t="s">
        <v>75</v>
      </c>
      <c r="G99" s="7"/>
    </row>
    <row r="100" customFormat="false" ht="12.75" hidden="false" customHeight="false" outlineLevel="0" collapsed="false">
      <c r="A100" s="3" t="s">
        <v>91</v>
      </c>
      <c r="B100" s="1" t="s">
        <v>91</v>
      </c>
      <c r="F100" s="3" t="s">
        <v>75</v>
      </c>
      <c r="G100" s="7"/>
    </row>
    <row r="101" customFormat="false" ht="12.75" hidden="false" customHeight="false" outlineLevel="0" collapsed="false">
      <c r="A101" s="3" t="s">
        <v>115</v>
      </c>
      <c r="B101" s="1" t="n">
        <v>0.011</v>
      </c>
      <c r="F101" s="3" t="s">
        <v>75</v>
      </c>
      <c r="G101" s="7"/>
    </row>
    <row r="102" customFormat="false" ht="12.75" hidden="false" customHeight="false" outlineLevel="0" collapsed="false">
      <c r="A102" s="3" t="s">
        <v>116</v>
      </c>
      <c r="B102" s="1" t="n">
        <v>0.041</v>
      </c>
      <c r="C102" s="1" t="s">
        <v>77</v>
      </c>
      <c r="D102" s="2" t="n">
        <v>0.03</v>
      </c>
      <c r="E102" s="2" t="n">
        <v>0.065</v>
      </c>
      <c r="F102" s="3" t="s">
        <v>75</v>
      </c>
      <c r="G102" s="7" t="b">
        <f aca="false">AND(B102&gt;=D102,B102&lt;=E102)</f>
        <v>1</v>
      </c>
    </row>
    <row r="103" customFormat="false" ht="12.75" hidden="false" customHeight="false" outlineLevel="0" collapsed="false">
      <c r="A103" s="3" t="s">
        <v>117</v>
      </c>
      <c r="B103" s="1" t="n">
        <v>3.688</v>
      </c>
      <c r="C103" s="1" t="s">
        <v>79</v>
      </c>
      <c r="D103" s="2" t="n">
        <v>3.5</v>
      </c>
      <c r="E103" s="2" t="n">
        <v>3.9</v>
      </c>
      <c r="F103" s="3" t="s">
        <v>75</v>
      </c>
      <c r="G103" s="7" t="n">
        <f aca="false">AND(B103&gt;=D103,B103&lt;=E103)</f>
        <v>1</v>
      </c>
    </row>
    <row r="104" customFormat="false" ht="12.75" hidden="false" customHeight="false" outlineLevel="0" collapsed="false">
      <c r="A104" s="3" t="s">
        <v>118</v>
      </c>
      <c r="B104" s="1" t="n">
        <v>2.636</v>
      </c>
      <c r="C104" s="10" t="s">
        <v>81</v>
      </c>
      <c r="D104" s="2" t="n">
        <v>2</v>
      </c>
      <c r="E104" s="2" t="n">
        <v>3</v>
      </c>
      <c r="F104" s="3" t="s">
        <v>75</v>
      </c>
      <c r="G104" s="7" t="n">
        <f aca="false">AND(B104&gt;=D104,B104&lt;=E104)</f>
        <v>1</v>
      </c>
    </row>
    <row r="105" customFormat="false" ht="12.75" hidden="false" customHeight="false" outlineLevel="0" collapsed="false">
      <c r="A105" s="3" t="s">
        <v>119</v>
      </c>
      <c r="B105" s="1" t="n">
        <v>0.347</v>
      </c>
      <c r="C105" s="1" t="s">
        <v>83</v>
      </c>
      <c r="D105" s="2" t="n">
        <v>0.15</v>
      </c>
      <c r="E105" s="2" t="n">
        <v>0.9</v>
      </c>
      <c r="F105" s="3" t="s">
        <v>75</v>
      </c>
      <c r="G105" s="7" t="n">
        <f aca="false">AND(B105&gt;=D105,B105&lt;=E105)</f>
        <v>1</v>
      </c>
    </row>
    <row r="106" customFormat="false" ht="12.75" hidden="false" customHeight="false" outlineLevel="0" collapsed="false">
      <c r="A106" s="3" t="s">
        <v>120</v>
      </c>
      <c r="B106" s="1" t="n">
        <v>0.042</v>
      </c>
      <c r="C106" s="1" t="s">
        <v>85</v>
      </c>
      <c r="E106" s="2" t="n">
        <v>0.1</v>
      </c>
      <c r="F106" s="3" t="s">
        <v>75</v>
      </c>
      <c r="G106" s="7" t="n">
        <f aca="false">AND(B106&gt;=D106,B106&lt;=E106)</f>
        <v>1</v>
      </c>
    </row>
    <row r="107" customFormat="false" ht="12.75" hidden="false" customHeight="false" outlineLevel="0" collapsed="false">
      <c r="A107" s="3" t="s">
        <v>121</v>
      </c>
      <c r="B107" s="1" t="n">
        <v>0.0065</v>
      </c>
      <c r="C107" s="1" t="s">
        <v>87</v>
      </c>
      <c r="E107" s="2" t="n">
        <v>0.03</v>
      </c>
      <c r="F107" s="3" t="s">
        <v>75</v>
      </c>
      <c r="G107" s="7" t="n">
        <f aca="false">AND(B107&gt;=D107,B107&lt;=E107)</f>
        <v>1</v>
      </c>
    </row>
    <row r="108" customFormat="false" ht="12.75" hidden="false" customHeight="false" outlineLevel="0" collapsed="false">
      <c r="A108" s="3" t="s">
        <v>105</v>
      </c>
      <c r="B108" s="1" t="n">
        <v>0.051</v>
      </c>
      <c r="F108" s="3" t="s">
        <v>75</v>
      </c>
      <c r="G108" s="7"/>
    </row>
    <row r="109" customFormat="false" ht="12.75" hidden="false" customHeight="false" outlineLevel="0" collapsed="false">
      <c r="A109" s="3" t="s">
        <v>122</v>
      </c>
      <c r="B109" s="1" t="n">
        <v>0.023</v>
      </c>
      <c r="F109" s="3" t="s">
        <v>75</v>
      </c>
      <c r="G109" s="7"/>
    </row>
    <row r="110" customFormat="false" ht="12.75" hidden="false" customHeight="false" outlineLevel="0" collapsed="false">
      <c r="A110" s="3" t="s">
        <v>123</v>
      </c>
      <c r="B110" s="1" t="n">
        <v>0.061</v>
      </c>
      <c r="F110" s="3" t="s">
        <v>75</v>
      </c>
      <c r="G110" s="7"/>
    </row>
    <row r="111" customFormat="false" ht="12.75" hidden="false" customHeight="false" outlineLevel="0" collapsed="false">
      <c r="A111" s="3" t="s">
        <v>91</v>
      </c>
      <c r="B111" s="1" t="s">
        <v>91</v>
      </c>
      <c r="F111" s="3" t="s">
        <v>75</v>
      </c>
      <c r="G111" s="7"/>
    </row>
    <row r="112" customFormat="false" ht="12.75" hidden="false" customHeight="false" outlineLevel="0" collapsed="false">
      <c r="A112" s="3" t="s">
        <v>124</v>
      </c>
      <c r="B112" s="1" t="n">
        <v>0.035</v>
      </c>
      <c r="C112" s="1" t="s">
        <v>85</v>
      </c>
      <c r="E112" s="2" t="n">
        <v>0.1</v>
      </c>
      <c r="F112" s="3" t="s">
        <v>125</v>
      </c>
      <c r="G112" s="7" t="b">
        <f aca="false">AND(B112&gt;=D112,B112&lt;=E112)</f>
        <v>1</v>
      </c>
    </row>
    <row r="113" customFormat="false" ht="12.75" hidden="false" customHeight="false" outlineLevel="0" collapsed="false">
      <c r="A113" s="3" t="s">
        <v>126</v>
      </c>
      <c r="B113" s="1" t="n">
        <v>0.383</v>
      </c>
      <c r="C113" s="1" t="s">
        <v>127</v>
      </c>
      <c r="E113" s="2" t="n">
        <v>1</v>
      </c>
      <c r="F113" s="3" t="s">
        <v>125</v>
      </c>
      <c r="G113" s="7" t="n">
        <f aca="false">AND(B113&gt;=D113,B113&lt;=E113)</f>
        <v>1</v>
      </c>
    </row>
    <row r="114" customFormat="false" ht="12.75" hidden="false" customHeight="false" outlineLevel="0" collapsed="false">
      <c r="A114" s="3" t="s">
        <v>128</v>
      </c>
      <c r="B114" s="1" t="n">
        <v>1.645</v>
      </c>
      <c r="C114" s="1" t="s">
        <v>129</v>
      </c>
      <c r="E114" s="2" t="n">
        <v>2</v>
      </c>
      <c r="F114" s="3" t="s">
        <v>125</v>
      </c>
      <c r="G114" s="7" t="n">
        <f aca="false">AND(B114&gt;=D114,B114&lt;=E114)</f>
        <v>1</v>
      </c>
    </row>
    <row r="115" customFormat="false" ht="12.75" hidden="false" customHeight="false" outlineLevel="0" collapsed="false">
      <c r="A115" s="3" t="s">
        <v>130</v>
      </c>
      <c r="B115" s="1" t="n">
        <v>0.037</v>
      </c>
      <c r="C115" s="1" t="s">
        <v>131</v>
      </c>
      <c r="E115" s="2" t="n">
        <v>0.05</v>
      </c>
      <c r="F115" s="3" t="s">
        <v>125</v>
      </c>
      <c r="G115" s="7" t="n">
        <f aca="false">AND(B115&gt;=D115,B115&lt;=E115)</f>
        <v>1</v>
      </c>
    </row>
    <row r="116" customFormat="false" ht="12.75" hidden="false" customHeight="false" outlineLevel="0" collapsed="false">
      <c r="A116" s="3" t="s">
        <v>132</v>
      </c>
      <c r="B116" s="1" t="n">
        <v>0.024</v>
      </c>
      <c r="C116" s="1" t="s">
        <v>87</v>
      </c>
      <c r="E116" s="2" t="n">
        <v>0.03</v>
      </c>
      <c r="F116" s="3" t="s">
        <v>125</v>
      </c>
      <c r="G116" s="7" t="n">
        <f aca="false">AND(B116&gt;=D116,B116&lt;=E116)</f>
        <v>1</v>
      </c>
    </row>
    <row r="117" customFormat="false" ht="12.75" hidden="false" customHeight="false" outlineLevel="0" collapsed="false">
      <c r="A117" s="3" t="s">
        <v>133</v>
      </c>
      <c r="B117" s="1" t="n">
        <v>18.49</v>
      </c>
      <c r="C117" s="1" t="s">
        <v>134</v>
      </c>
      <c r="D117" s="2" t="n">
        <v>15</v>
      </c>
      <c r="E117" s="2" t="n">
        <v>20</v>
      </c>
      <c r="F117" s="3" t="s">
        <v>125</v>
      </c>
      <c r="G117" s="7" t="n">
        <f aca="false">AND(B117&gt;=D117,B117&lt;=E117)</f>
        <v>1</v>
      </c>
    </row>
    <row r="118" customFormat="false" ht="12.75" hidden="false" customHeight="false" outlineLevel="0" collapsed="false">
      <c r="A118" s="3" t="s">
        <v>135</v>
      </c>
      <c r="B118" s="1" t="n">
        <v>8.256</v>
      </c>
      <c r="C118" s="11" t="s">
        <v>136</v>
      </c>
      <c r="D118" s="2" t="n">
        <v>8</v>
      </c>
      <c r="E118" s="2" t="n">
        <v>19</v>
      </c>
      <c r="F118" s="3" t="s">
        <v>125</v>
      </c>
      <c r="G118" s="7" t="n">
        <f aca="false">AND(B118&gt;=D118,B118&lt;=E118)</f>
        <v>1</v>
      </c>
    </row>
    <row r="119" customFormat="false" ht="12.75" hidden="false" customHeight="false" outlineLevel="0" collapsed="false">
      <c r="A119" s="3" t="s">
        <v>137</v>
      </c>
      <c r="B119" s="1" t="n">
        <v>0.246</v>
      </c>
      <c r="F119" s="3" t="s">
        <v>125</v>
      </c>
      <c r="G119" s="7"/>
    </row>
    <row r="120" customFormat="false" ht="12.75" hidden="false" customHeight="false" outlineLevel="0" collapsed="false">
      <c r="A120" s="3" t="s">
        <v>138</v>
      </c>
      <c r="B120" s="1" t="n">
        <v>0.397</v>
      </c>
      <c r="C120" s="1" t="s">
        <v>139</v>
      </c>
      <c r="E120" s="2" t="n">
        <v>4</v>
      </c>
      <c r="F120" s="3" t="s">
        <v>125</v>
      </c>
      <c r="G120" s="7" t="b">
        <f aca="false">AND(B120&gt;=D120,B120&lt;=E120)</f>
        <v>1</v>
      </c>
    </row>
    <row r="121" customFormat="false" ht="12.75" hidden="false" customHeight="false" outlineLevel="0" collapsed="false">
      <c r="A121" s="3" t="s">
        <v>140</v>
      </c>
      <c r="B121" s="1" t="s">
        <v>140</v>
      </c>
      <c r="F121" s="3" t="s">
        <v>125</v>
      </c>
      <c r="G121" s="7"/>
    </row>
    <row r="122" customFormat="false" ht="12.75" hidden="false" customHeight="false" outlineLevel="0" collapsed="false">
      <c r="A122" s="3" t="s">
        <v>124</v>
      </c>
      <c r="B122" s="1" t="n">
        <v>0.035</v>
      </c>
      <c r="C122" s="1" t="s">
        <v>85</v>
      </c>
      <c r="E122" s="2" t="n">
        <v>0.1</v>
      </c>
      <c r="F122" s="3" t="s">
        <v>125</v>
      </c>
      <c r="G122" s="7" t="n">
        <f aca="false">AND(B122&gt;=D122,B122&lt;=E122)</f>
        <v>1</v>
      </c>
    </row>
    <row r="123" customFormat="false" ht="12.75" hidden="false" customHeight="false" outlineLevel="0" collapsed="false">
      <c r="A123" s="3" t="s">
        <v>141</v>
      </c>
      <c r="B123" s="1" t="n">
        <v>0.381</v>
      </c>
      <c r="C123" s="1" t="s">
        <v>127</v>
      </c>
      <c r="E123" s="2" t="n">
        <v>1</v>
      </c>
      <c r="F123" s="3" t="s">
        <v>125</v>
      </c>
      <c r="G123" s="7" t="n">
        <f aca="false">AND(B123&gt;=D123,B123&lt;=E123)</f>
        <v>1</v>
      </c>
    </row>
    <row r="124" customFormat="false" ht="12.75" hidden="false" customHeight="false" outlineLevel="0" collapsed="false">
      <c r="A124" s="3" t="s">
        <v>142</v>
      </c>
      <c r="B124" s="1" t="n">
        <v>1.649</v>
      </c>
      <c r="C124" s="1" t="s">
        <v>129</v>
      </c>
      <c r="E124" s="2" t="n">
        <v>2</v>
      </c>
      <c r="F124" s="3" t="s">
        <v>125</v>
      </c>
      <c r="G124" s="7" t="n">
        <f aca="false">AND(B124&gt;=D124,B124&lt;=E124)</f>
        <v>1</v>
      </c>
    </row>
    <row r="125" customFormat="false" ht="12.75" hidden="false" customHeight="false" outlineLevel="0" collapsed="false">
      <c r="A125" s="3" t="s">
        <v>143</v>
      </c>
      <c r="B125" s="1" t="n">
        <v>0.038</v>
      </c>
      <c r="C125" s="1" t="s">
        <v>131</v>
      </c>
      <c r="E125" s="2" t="n">
        <v>0.05</v>
      </c>
      <c r="F125" s="3" t="s">
        <v>125</v>
      </c>
      <c r="G125" s="7" t="n">
        <f aca="false">AND(B125&gt;=D125,B125&lt;=E125)</f>
        <v>1</v>
      </c>
    </row>
    <row r="126" customFormat="false" ht="12.75" hidden="false" customHeight="false" outlineLevel="0" collapsed="false">
      <c r="A126" s="3" t="s">
        <v>132</v>
      </c>
      <c r="B126" s="1" t="n">
        <v>0.024</v>
      </c>
      <c r="C126" s="1" t="s">
        <v>87</v>
      </c>
      <c r="E126" s="2" t="n">
        <v>0.03</v>
      </c>
      <c r="F126" s="3" t="s">
        <v>125</v>
      </c>
      <c r="G126" s="7" t="n">
        <f aca="false">AND(B126&gt;=D126,B126&lt;=E126)</f>
        <v>1</v>
      </c>
    </row>
    <row r="127" customFormat="false" ht="12.75" hidden="false" customHeight="false" outlineLevel="0" collapsed="false">
      <c r="A127" s="3" t="s">
        <v>144</v>
      </c>
      <c r="B127" s="1" t="n">
        <v>18.53</v>
      </c>
      <c r="C127" s="1" t="s">
        <v>134</v>
      </c>
      <c r="D127" s="2" t="n">
        <v>15</v>
      </c>
      <c r="E127" s="2" t="n">
        <v>20</v>
      </c>
      <c r="F127" s="3" t="s">
        <v>125</v>
      </c>
      <c r="G127" s="7" t="n">
        <f aca="false">AND(B127&gt;=D127,B127&lt;=E127)</f>
        <v>1</v>
      </c>
    </row>
    <row r="128" customFormat="false" ht="12.75" hidden="false" customHeight="false" outlineLevel="0" collapsed="false">
      <c r="A128" s="3" t="s">
        <v>145</v>
      </c>
      <c r="B128" s="1" t="n">
        <v>8.241</v>
      </c>
      <c r="C128" s="11" t="s">
        <v>136</v>
      </c>
      <c r="D128" s="2" t="n">
        <v>8</v>
      </c>
      <c r="E128" s="2" t="n">
        <v>19</v>
      </c>
      <c r="F128" s="3" t="s">
        <v>125</v>
      </c>
      <c r="G128" s="7" t="n">
        <f aca="false">AND(B128&gt;=D128,B128&lt;=E128)</f>
        <v>1</v>
      </c>
    </row>
    <row r="129" customFormat="false" ht="12.75" hidden="false" customHeight="false" outlineLevel="0" collapsed="false">
      <c r="A129" s="3" t="s">
        <v>137</v>
      </c>
      <c r="B129" s="1" t="n">
        <v>0.246</v>
      </c>
      <c r="F129" s="3" t="s">
        <v>125</v>
      </c>
      <c r="G129" s="7"/>
    </row>
    <row r="130" customFormat="false" ht="12.75" hidden="false" customHeight="false" outlineLevel="0" collapsed="false">
      <c r="A130" s="3" t="s">
        <v>146</v>
      </c>
      <c r="B130" s="1" t="n">
        <v>0.396</v>
      </c>
      <c r="C130" s="1" t="s">
        <v>139</v>
      </c>
      <c r="E130" s="2" t="n">
        <v>4</v>
      </c>
      <c r="F130" s="3" t="s">
        <v>125</v>
      </c>
      <c r="G130" s="7" t="b">
        <f aca="false">AND(B130&gt;=D130,B130&lt;=E130)</f>
        <v>1</v>
      </c>
    </row>
    <row r="131" customFormat="false" ht="12.75" hidden="false" customHeight="false" outlineLevel="0" collapsed="false">
      <c r="A131" s="3" t="s">
        <v>140</v>
      </c>
      <c r="B131" s="1" t="s">
        <v>140</v>
      </c>
      <c r="F131" s="3" t="s">
        <v>125</v>
      </c>
      <c r="G131" s="7"/>
    </row>
    <row r="132" customFormat="false" ht="12.75" hidden="false" customHeight="false" outlineLevel="0" collapsed="false">
      <c r="A132" s="3" t="s">
        <v>124</v>
      </c>
      <c r="B132" s="1" t="n">
        <v>0.035</v>
      </c>
      <c r="C132" s="1" t="s">
        <v>85</v>
      </c>
      <c r="E132" s="2" t="n">
        <v>0.1</v>
      </c>
      <c r="F132" s="3" t="s">
        <v>125</v>
      </c>
      <c r="G132" s="7" t="n">
        <f aca="false">AND(B132&gt;=D132,B132&lt;=E132)</f>
        <v>1</v>
      </c>
    </row>
    <row r="133" customFormat="false" ht="12.75" hidden="false" customHeight="false" outlineLevel="0" collapsed="false">
      <c r="A133" s="3" t="s">
        <v>147</v>
      </c>
      <c r="B133" s="1" t="n">
        <v>0.378</v>
      </c>
      <c r="C133" s="1" t="s">
        <v>127</v>
      </c>
      <c r="E133" s="2" t="n">
        <v>1</v>
      </c>
      <c r="F133" s="3" t="s">
        <v>125</v>
      </c>
      <c r="G133" s="7" t="n">
        <f aca="false">AND(B133&gt;=D133,B133&lt;=E133)</f>
        <v>1</v>
      </c>
    </row>
    <row r="134" customFormat="false" ht="12.75" hidden="false" customHeight="false" outlineLevel="0" collapsed="false">
      <c r="A134" s="3" t="s">
        <v>148</v>
      </c>
      <c r="B134" s="1" t="n">
        <v>1.667</v>
      </c>
      <c r="C134" s="1" t="s">
        <v>129</v>
      </c>
      <c r="E134" s="2" t="n">
        <v>2</v>
      </c>
      <c r="F134" s="3" t="s">
        <v>125</v>
      </c>
      <c r="G134" s="7" t="n">
        <f aca="false">AND(B134&gt;=D134,B134&lt;=E134)</f>
        <v>1</v>
      </c>
    </row>
    <row r="135" customFormat="false" ht="12.75" hidden="false" customHeight="false" outlineLevel="0" collapsed="false">
      <c r="A135" s="3" t="s">
        <v>149</v>
      </c>
      <c r="B135" s="1" t="n">
        <v>0.034</v>
      </c>
      <c r="C135" s="1" t="s">
        <v>131</v>
      </c>
      <c r="E135" s="2" t="n">
        <v>0.05</v>
      </c>
      <c r="F135" s="3" t="s">
        <v>125</v>
      </c>
      <c r="G135" s="7" t="n">
        <f aca="false">AND(B135&gt;=D135,B135&lt;=E135)</f>
        <v>1</v>
      </c>
    </row>
    <row r="136" customFormat="false" ht="12.75" hidden="false" customHeight="false" outlineLevel="0" collapsed="false">
      <c r="A136" s="3" t="s">
        <v>150</v>
      </c>
      <c r="B136" s="1" t="n">
        <v>0.022</v>
      </c>
      <c r="C136" s="1" t="s">
        <v>87</v>
      </c>
      <c r="E136" s="2" t="n">
        <v>0.03</v>
      </c>
      <c r="F136" s="3" t="s">
        <v>125</v>
      </c>
      <c r="G136" s="7" t="n">
        <f aca="false">AND(B136&gt;=D136,B136&lt;=E136)</f>
        <v>1</v>
      </c>
    </row>
    <row r="137" customFormat="false" ht="12.75" hidden="false" customHeight="false" outlineLevel="0" collapsed="false">
      <c r="A137" s="3" t="s">
        <v>151</v>
      </c>
      <c r="B137" s="1" t="n">
        <v>18.66</v>
      </c>
      <c r="C137" s="1" t="s">
        <v>134</v>
      </c>
      <c r="D137" s="2" t="n">
        <v>15</v>
      </c>
      <c r="E137" s="2" t="n">
        <v>20</v>
      </c>
      <c r="F137" s="3" t="s">
        <v>125</v>
      </c>
      <c r="G137" s="7" t="n">
        <f aca="false">AND(B137&gt;=D137,B137&lt;=E137)</f>
        <v>1</v>
      </c>
    </row>
    <row r="138" customFormat="false" ht="12.75" hidden="false" customHeight="false" outlineLevel="0" collapsed="false">
      <c r="A138" s="3" t="s">
        <v>152</v>
      </c>
      <c r="B138" s="1" t="n">
        <v>8.158</v>
      </c>
      <c r="C138" s="11" t="s">
        <v>136</v>
      </c>
      <c r="D138" s="2" t="n">
        <v>8</v>
      </c>
      <c r="E138" s="2" t="n">
        <v>19</v>
      </c>
      <c r="F138" s="3" t="s">
        <v>125</v>
      </c>
      <c r="G138" s="7" t="n">
        <f aca="false">AND(B138&gt;=D138,B138&lt;=E138)</f>
        <v>1</v>
      </c>
    </row>
    <row r="139" customFormat="false" ht="12.75" hidden="false" customHeight="false" outlineLevel="0" collapsed="false">
      <c r="A139" s="3" t="s">
        <v>153</v>
      </c>
      <c r="B139" s="1" t="n">
        <v>0.244</v>
      </c>
      <c r="F139" s="3" t="s">
        <v>125</v>
      </c>
      <c r="G139" s="7"/>
    </row>
    <row r="140" customFormat="false" ht="12.75" hidden="false" customHeight="false" outlineLevel="0" collapsed="false">
      <c r="A140" s="3" t="s">
        <v>154</v>
      </c>
      <c r="B140" s="1" t="n">
        <v>0.399</v>
      </c>
      <c r="C140" s="1" t="s">
        <v>139</v>
      </c>
      <c r="E140" s="2" t="n">
        <v>4</v>
      </c>
      <c r="F140" s="3" t="s">
        <v>125</v>
      </c>
      <c r="G140" s="7" t="b">
        <f aca="false">AND(B140&gt;=D140,B140&lt;=E140)</f>
        <v>1</v>
      </c>
    </row>
    <row r="141" customFormat="false" ht="12.75" hidden="false" customHeight="false" outlineLevel="0" collapsed="false">
      <c r="A141" s="3" t="s">
        <v>140</v>
      </c>
      <c r="B141" s="1" t="s">
        <v>140</v>
      </c>
      <c r="F141" s="3" t="s">
        <v>125</v>
      </c>
      <c r="G141" s="7"/>
    </row>
    <row r="142" customFormat="false" ht="12.75" hidden="false" customHeight="false" outlineLevel="0" collapsed="false">
      <c r="A142" s="3" t="s">
        <v>124</v>
      </c>
      <c r="B142" s="1" t="n">
        <v>0.035</v>
      </c>
      <c r="C142" s="1" t="s">
        <v>85</v>
      </c>
      <c r="E142" s="2" t="n">
        <v>0.1</v>
      </c>
      <c r="F142" s="3" t="s">
        <v>125</v>
      </c>
      <c r="G142" s="7" t="n">
        <f aca="false">AND(B142&gt;=D142,B142&lt;=E142)</f>
        <v>1</v>
      </c>
    </row>
    <row r="143" customFormat="false" ht="12.75" hidden="false" customHeight="false" outlineLevel="0" collapsed="false">
      <c r="A143" s="3" t="s">
        <v>155</v>
      </c>
      <c r="B143" s="1" t="n">
        <v>0.384</v>
      </c>
      <c r="C143" s="1" t="s">
        <v>127</v>
      </c>
      <c r="E143" s="2" t="n">
        <v>1</v>
      </c>
      <c r="F143" s="3" t="s">
        <v>125</v>
      </c>
      <c r="G143" s="7" t="n">
        <f aca="false">AND(B143&gt;=D143,B143&lt;=E143)</f>
        <v>1</v>
      </c>
    </row>
    <row r="144" customFormat="false" ht="12.75" hidden="false" customHeight="false" outlineLevel="0" collapsed="false">
      <c r="A144" s="3" t="s">
        <v>156</v>
      </c>
      <c r="B144" s="1" t="n">
        <v>1.682</v>
      </c>
      <c r="C144" s="1" t="s">
        <v>129</v>
      </c>
      <c r="E144" s="2" t="n">
        <v>2</v>
      </c>
      <c r="F144" s="3" t="s">
        <v>125</v>
      </c>
      <c r="G144" s="7" t="n">
        <f aca="false">AND(B144&gt;=D144,B144&lt;=E144)</f>
        <v>1</v>
      </c>
    </row>
    <row r="145" customFormat="false" ht="12.75" hidden="false" customHeight="false" outlineLevel="0" collapsed="false">
      <c r="A145" s="3" t="s">
        <v>157</v>
      </c>
      <c r="B145" s="1" t="n">
        <v>0.035</v>
      </c>
      <c r="C145" s="1" t="s">
        <v>131</v>
      </c>
      <c r="E145" s="2" t="n">
        <v>0.05</v>
      </c>
      <c r="F145" s="3" t="s">
        <v>125</v>
      </c>
      <c r="G145" s="7" t="n">
        <f aca="false">AND(B145&gt;=D145,B145&lt;=E145)</f>
        <v>1</v>
      </c>
    </row>
    <row r="146" customFormat="false" ht="12.75" hidden="false" customHeight="false" outlineLevel="0" collapsed="false">
      <c r="A146" s="3" t="s">
        <v>158</v>
      </c>
      <c r="B146" s="1" t="n">
        <v>0.021</v>
      </c>
      <c r="C146" s="1" t="s">
        <v>87</v>
      </c>
      <c r="E146" s="2" t="n">
        <v>0.03</v>
      </c>
      <c r="F146" s="3" t="s">
        <v>125</v>
      </c>
      <c r="G146" s="7" t="n">
        <f aca="false">AND(B146&gt;=D146,B146&lt;=E146)</f>
        <v>1</v>
      </c>
    </row>
    <row r="147" customFormat="false" ht="12.75" hidden="false" customHeight="false" outlineLevel="0" collapsed="false">
      <c r="A147" s="3" t="s">
        <v>159</v>
      </c>
      <c r="B147" s="1" t="n">
        <v>18.72</v>
      </c>
      <c r="C147" s="1" t="s">
        <v>134</v>
      </c>
      <c r="D147" s="2" t="n">
        <v>15</v>
      </c>
      <c r="E147" s="2" t="n">
        <v>20</v>
      </c>
      <c r="F147" s="3" t="s">
        <v>125</v>
      </c>
      <c r="G147" s="7" t="n">
        <f aca="false">AND(B147&gt;=D147,B147&lt;=E147)</f>
        <v>1</v>
      </c>
    </row>
    <row r="148" customFormat="false" ht="12.75" hidden="false" customHeight="false" outlineLevel="0" collapsed="false">
      <c r="A148" s="3" t="s">
        <v>160</v>
      </c>
      <c r="B148" s="1" t="n">
        <v>8.181</v>
      </c>
      <c r="C148" s="11" t="s">
        <v>136</v>
      </c>
      <c r="D148" s="2" t="n">
        <v>8</v>
      </c>
      <c r="E148" s="2" t="n">
        <v>19</v>
      </c>
      <c r="F148" s="3" t="s">
        <v>125</v>
      </c>
      <c r="G148" s="7" t="n">
        <f aca="false">AND(B148&gt;=D148,B148&lt;=E148)</f>
        <v>1</v>
      </c>
    </row>
    <row r="149" customFormat="false" ht="12.75" hidden="false" customHeight="false" outlineLevel="0" collapsed="false">
      <c r="A149" s="3" t="s">
        <v>161</v>
      </c>
      <c r="B149" s="1" t="n">
        <v>0.245</v>
      </c>
      <c r="F149" s="3" t="s">
        <v>125</v>
      </c>
      <c r="G149" s="7"/>
    </row>
    <row r="150" customFormat="false" ht="12.75" hidden="false" customHeight="false" outlineLevel="0" collapsed="false">
      <c r="A150" s="3" t="s">
        <v>162</v>
      </c>
      <c r="B150" s="1" t="n">
        <v>0.402</v>
      </c>
      <c r="C150" s="1" t="s">
        <v>139</v>
      </c>
      <c r="E150" s="2" t="n">
        <v>4</v>
      </c>
      <c r="F150" s="3" t="s">
        <v>125</v>
      </c>
      <c r="G150" s="7" t="b">
        <f aca="false">AND(B150&gt;=D150,B150&lt;=E150)</f>
        <v>1</v>
      </c>
    </row>
    <row r="151" customFormat="false" ht="12.75" hidden="false" customHeight="false" outlineLevel="0" collapsed="false">
      <c r="A151" s="3" t="s">
        <v>140</v>
      </c>
      <c r="B151" s="1" t="s">
        <v>140</v>
      </c>
      <c r="F151" s="3" t="s">
        <v>125</v>
      </c>
      <c r="G151" s="7"/>
    </row>
    <row r="152" customFormat="false" ht="12.75" hidden="false" customHeight="false" outlineLevel="0" collapsed="false">
      <c r="A152" s="3" t="s">
        <v>163</v>
      </c>
      <c r="B152" s="1" t="n">
        <v>0.028</v>
      </c>
      <c r="C152" s="1" t="s">
        <v>85</v>
      </c>
      <c r="E152" s="2" t="n">
        <v>0.1</v>
      </c>
      <c r="F152" s="3" t="s">
        <v>125</v>
      </c>
      <c r="G152" s="7" t="n">
        <f aca="false">AND(B152&gt;=D152,B152&lt;=E152)</f>
        <v>1</v>
      </c>
    </row>
    <row r="153" customFormat="false" ht="12.75" hidden="false" customHeight="false" outlineLevel="0" collapsed="false">
      <c r="A153" s="3" t="s">
        <v>164</v>
      </c>
      <c r="B153" s="1" t="n">
        <v>0.386</v>
      </c>
      <c r="C153" s="1" t="s">
        <v>127</v>
      </c>
      <c r="E153" s="2" t="n">
        <v>1</v>
      </c>
      <c r="F153" s="3" t="s">
        <v>125</v>
      </c>
      <c r="G153" s="7" t="n">
        <f aca="false">AND(B153&gt;=D153,B153&lt;=E153)</f>
        <v>1</v>
      </c>
    </row>
    <row r="154" customFormat="false" ht="12.75" hidden="false" customHeight="false" outlineLevel="0" collapsed="false">
      <c r="A154" s="3" t="s">
        <v>165</v>
      </c>
      <c r="B154" s="1" t="n">
        <v>1.735</v>
      </c>
      <c r="C154" s="1" t="s">
        <v>129</v>
      </c>
      <c r="E154" s="2" t="n">
        <v>2</v>
      </c>
      <c r="F154" s="3" t="s">
        <v>125</v>
      </c>
      <c r="G154" s="7" t="n">
        <f aca="false">AND(B154&gt;=D154,B154&lt;=E154)</f>
        <v>1</v>
      </c>
    </row>
    <row r="155" customFormat="false" ht="12.75" hidden="false" customHeight="false" outlineLevel="0" collapsed="false">
      <c r="A155" s="3" t="s">
        <v>166</v>
      </c>
      <c r="B155" s="1" t="n">
        <v>0.032</v>
      </c>
      <c r="C155" s="1" t="s">
        <v>131</v>
      </c>
      <c r="E155" s="2" t="n">
        <v>0.05</v>
      </c>
      <c r="F155" s="3" t="s">
        <v>125</v>
      </c>
      <c r="G155" s="7" t="n">
        <f aca="false">AND(B155&gt;=D155,B155&lt;=E155)</f>
        <v>1</v>
      </c>
    </row>
    <row r="156" customFormat="false" ht="12.75" hidden="false" customHeight="false" outlineLevel="0" collapsed="false">
      <c r="A156" s="3" t="s">
        <v>167</v>
      </c>
      <c r="B156" s="1" t="n">
        <v>0.018</v>
      </c>
      <c r="C156" s="1" t="s">
        <v>87</v>
      </c>
      <c r="E156" s="2" t="n">
        <v>0.03</v>
      </c>
      <c r="F156" s="3" t="s">
        <v>125</v>
      </c>
      <c r="G156" s="7" t="n">
        <f aca="false">AND(B156&gt;=D156,B156&lt;=E156)</f>
        <v>1</v>
      </c>
    </row>
    <row r="157" customFormat="false" ht="12.75" hidden="false" customHeight="false" outlineLevel="0" collapsed="false">
      <c r="A157" s="3" t="s">
        <v>168</v>
      </c>
      <c r="B157" s="1" t="n">
        <v>18.43</v>
      </c>
      <c r="C157" s="1" t="s">
        <v>134</v>
      </c>
      <c r="D157" s="2" t="n">
        <v>15</v>
      </c>
      <c r="E157" s="2" t="n">
        <v>20</v>
      </c>
      <c r="F157" s="3" t="s">
        <v>125</v>
      </c>
      <c r="G157" s="7" t="n">
        <f aca="false">AND(B157&gt;=D157,B157&lt;=E157)</f>
        <v>1</v>
      </c>
    </row>
    <row r="158" customFormat="false" ht="12.75" hidden="false" customHeight="false" outlineLevel="0" collapsed="false">
      <c r="A158" s="3" t="s">
        <v>169</v>
      </c>
      <c r="B158" s="1" t="n">
        <v>8.254</v>
      </c>
      <c r="C158" s="11" t="s">
        <v>136</v>
      </c>
      <c r="D158" s="2" t="n">
        <v>8</v>
      </c>
      <c r="E158" s="2" t="n">
        <v>19</v>
      </c>
      <c r="F158" s="3" t="s">
        <v>125</v>
      </c>
      <c r="G158" s="7" t="n">
        <f aca="false">AND(B158&gt;=D158,B158&lt;=E158)</f>
        <v>1</v>
      </c>
    </row>
    <row r="159" customFormat="false" ht="12.75" hidden="false" customHeight="false" outlineLevel="0" collapsed="false">
      <c r="A159" s="3" t="s">
        <v>170</v>
      </c>
      <c r="B159" s="1" t="n">
        <v>0.247</v>
      </c>
      <c r="F159" s="3" t="s">
        <v>125</v>
      </c>
      <c r="G159" s="7"/>
    </row>
    <row r="160" customFormat="false" ht="12.75" hidden="false" customHeight="false" outlineLevel="0" collapsed="false">
      <c r="A160" s="3" t="s">
        <v>171</v>
      </c>
      <c r="B160" s="1" t="n">
        <v>0.418</v>
      </c>
      <c r="C160" s="1" t="s">
        <v>139</v>
      </c>
      <c r="E160" s="2" t="n">
        <v>4</v>
      </c>
      <c r="F160" s="3" t="s">
        <v>125</v>
      </c>
      <c r="G160" s="7" t="b">
        <f aca="false">AND(B160&gt;=D160,B160&lt;=E160)</f>
        <v>1</v>
      </c>
    </row>
    <row r="161" customFormat="false" ht="12.75" hidden="false" customHeight="false" outlineLevel="0" collapsed="false">
      <c r="A161" s="3" t="s">
        <v>140</v>
      </c>
      <c r="B161" s="1" t="s">
        <v>140</v>
      </c>
      <c r="F161" s="3" t="s">
        <v>125</v>
      </c>
      <c r="G161" s="7"/>
    </row>
    <row r="162" customFormat="false" ht="12.75" hidden="false" customHeight="false" outlineLevel="0" collapsed="false">
      <c r="A162" s="3" t="s">
        <v>172</v>
      </c>
      <c r="B162" s="1" t="n">
        <v>0.029</v>
      </c>
      <c r="C162" s="1" t="s">
        <v>85</v>
      </c>
      <c r="E162" s="2" t="n">
        <v>0.1</v>
      </c>
      <c r="F162" s="3" t="s">
        <v>125</v>
      </c>
      <c r="G162" s="7" t="n">
        <f aca="false">AND(B162&gt;=D162,B162&lt;=E162)</f>
        <v>1</v>
      </c>
    </row>
    <row r="163" customFormat="false" ht="12.75" hidden="false" customHeight="false" outlineLevel="0" collapsed="false">
      <c r="A163" s="3" t="s">
        <v>173</v>
      </c>
      <c r="B163" s="1" t="n">
        <v>0.39</v>
      </c>
      <c r="C163" s="1" t="s">
        <v>127</v>
      </c>
      <c r="E163" s="2" t="n">
        <v>1</v>
      </c>
      <c r="F163" s="3" t="s">
        <v>125</v>
      </c>
      <c r="G163" s="7" t="n">
        <f aca="false">AND(B163&gt;=D163,B163&lt;=E163)</f>
        <v>1</v>
      </c>
    </row>
    <row r="164" customFormat="false" ht="12.75" hidden="false" customHeight="false" outlineLevel="0" collapsed="false">
      <c r="A164" s="3" t="s">
        <v>174</v>
      </c>
      <c r="B164" s="1" t="n">
        <v>1.725</v>
      </c>
      <c r="C164" s="1" t="s">
        <v>129</v>
      </c>
      <c r="E164" s="2" t="n">
        <v>2</v>
      </c>
      <c r="F164" s="3" t="s">
        <v>125</v>
      </c>
      <c r="G164" s="7" t="n">
        <f aca="false">AND(B164&gt;=D164,B164&lt;=E164)</f>
        <v>1</v>
      </c>
    </row>
    <row r="165" customFormat="false" ht="12.75" hidden="false" customHeight="false" outlineLevel="0" collapsed="false">
      <c r="A165" s="3" t="s">
        <v>157</v>
      </c>
      <c r="B165" s="1" t="n">
        <v>0.035</v>
      </c>
      <c r="C165" s="1" t="s">
        <v>131</v>
      </c>
      <c r="E165" s="2" t="n">
        <v>0.05</v>
      </c>
      <c r="F165" s="3" t="s">
        <v>125</v>
      </c>
      <c r="G165" s="7" t="n">
        <f aca="false">AND(B165&gt;=D165,B165&lt;=E165)</f>
        <v>1</v>
      </c>
    </row>
    <row r="166" customFormat="false" ht="12.75" hidden="false" customHeight="false" outlineLevel="0" collapsed="false">
      <c r="A166" s="3" t="s">
        <v>175</v>
      </c>
      <c r="B166" s="1" t="n">
        <v>0.019</v>
      </c>
      <c r="C166" s="1" t="s">
        <v>87</v>
      </c>
      <c r="E166" s="2" t="n">
        <v>0.03</v>
      </c>
      <c r="F166" s="3" t="s">
        <v>125</v>
      </c>
      <c r="G166" s="7" t="n">
        <f aca="false">AND(B166&gt;=D166,B166&lt;=E166)</f>
        <v>1</v>
      </c>
    </row>
    <row r="167" customFormat="false" ht="12.75" hidden="false" customHeight="false" outlineLevel="0" collapsed="false">
      <c r="A167" s="3" t="s">
        <v>176</v>
      </c>
      <c r="B167" s="1" t="n">
        <v>18.52</v>
      </c>
      <c r="C167" s="1" t="s">
        <v>134</v>
      </c>
      <c r="D167" s="2" t="n">
        <v>15</v>
      </c>
      <c r="E167" s="2" t="n">
        <v>20</v>
      </c>
      <c r="F167" s="3" t="s">
        <v>125</v>
      </c>
      <c r="G167" s="7" t="n">
        <f aca="false">AND(B167&gt;=D167,B167&lt;=E167)</f>
        <v>1</v>
      </c>
    </row>
    <row r="168" customFormat="false" ht="12.75" hidden="false" customHeight="false" outlineLevel="0" collapsed="false">
      <c r="A168" s="3" t="s">
        <v>177</v>
      </c>
      <c r="B168" s="1" t="n">
        <v>8.278</v>
      </c>
      <c r="C168" s="11" t="s">
        <v>136</v>
      </c>
      <c r="D168" s="2" t="n">
        <v>8</v>
      </c>
      <c r="E168" s="2" t="n">
        <v>19</v>
      </c>
      <c r="F168" s="3" t="s">
        <v>125</v>
      </c>
      <c r="G168" s="7" t="n">
        <f aca="false">AND(B168&gt;=D168,B168&lt;=E168)</f>
        <v>1</v>
      </c>
    </row>
    <row r="169" customFormat="false" ht="12.75" hidden="false" customHeight="false" outlineLevel="0" collapsed="false">
      <c r="A169" s="3" t="s">
        <v>178</v>
      </c>
      <c r="B169" s="1" t="n">
        <v>0.25</v>
      </c>
      <c r="F169" s="3" t="s">
        <v>125</v>
      </c>
      <c r="G169" s="7"/>
    </row>
    <row r="170" customFormat="false" ht="12.75" hidden="false" customHeight="false" outlineLevel="0" collapsed="false">
      <c r="A170" s="3" t="s">
        <v>171</v>
      </c>
      <c r="B170" s="1" t="n">
        <v>0.418</v>
      </c>
      <c r="C170" s="1" t="s">
        <v>139</v>
      </c>
      <c r="E170" s="2" t="n">
        <v>4</v>
      </c>
      <c r="F170" s="3" t="s">
        <v>125</v>
      </c>
      <c r="G170" s="7" t="b">
        <f aca="false">AND(B170&gt;=D170,B170&lt;=E170)</f>
        <v>1</v>
      </c>
    </row>
    <row r="171" customFormat="false" ht="12.75" hidden="false" customHeight="false" outlineLevel="0" collapsed="false">
      <c r="A171" s="3" t="s">
        <v>140</v>
      </c>
      <c r="B171" s="1" t="s">
        <v>140</v>
      </c>
      <c r="F171" s="3" t="s">
        <v>125</v>
      </c>
      <c r="G171" s="7"/>
    </row>
    <row r="172" customFormat="false" ht="12.75" hidden="false" customHeight="false" outlineLevel="0" collapsed="false">
      <c r="A172" s="3" t="s">
        <v>163</v>
      </c>
      <c r="B172" s="1" t="n">
        <v>0.028</v>
      </c>
      <c r="C172" s="1" t="s">
        <v>85</v>
      </c>
      <c r="E172" s="2" t="n">
        <v>0.1</v>
      </c>
      <c r="F172" s="3" t="s">
        <v>125</v>
      </c>
      <c r="G172" s="7" t="n">
        <f aca="false">AND(B172&gt;=D172,B172&lt;=E172)</f>
        <v>1</v>
      </c>
    </row>
    <row r="173" customFormat="false" ht="12.75" hidden="false" customHeight="false" outlineLevel="0" collapsed="false">
      <c r="A173" s="3" t="s">
        <v>179</v>
      </c>
      <c r="B173" s="1" t="n">
        <v>0.389</v>
      </c>
      <c r="C173" s="1" t="s">
        <v>127</v>
      </c>
      <c r="E173" s="2" t="n">
        <v>1</v>
      </c>
      <c r="F173" s="3" t="s">
        <v>125</v>
      </c>
      <c r="G173" s="7" t="n">
        <f aca="false">AND(B173&gt;=D173,B173&lt;=E173)</f>
        <v>1</v>
      </c>
    </row>
    <row r="174" customFormat="false" ht="12.75" hidden="false" customHeight="false" outlineLevel="0" collapsed="false">
      <c r="A174" s="3" t="s">
        <v>180</v>
      </c>
      <c r="B174" s="1" t="n">
        <v>1.74</v>
      </c>
      <c r="C174" s="1" t="s">
        <v>129</v>
      </c>
      <c r="E174" s="2" t="n">
        <v>2</v>
      </c>
      <c r="F174" s="3" t="s">
        <v>125</v>
      </c>
      <c r="G174" s="7" t="n">
        <f aca="false">AND(B174&gt;=D174,B174&lt;=E174)</f>
        <v>1</v>
      </c>
    </row>
    <row r="175" customFormat="false" ht="12.75" hidden="false" customHeight="false" outlineLevel="0" collapsed="false">
      <c r="A175" s="3" t="s">
        <v>181</v>
      </c>
      <c r="B175" s="1" t="n">
        <v>0.033</v>
      </c>
      <c r="C175" s="1" t="s">
        <v>131</v>
      </c>
      <c r="E175" s="2" t="n">
        <v>0.05</v>
      </c>
      <c r="F175" s="3" t="s">
        <v>125</v>
      </c>
      <c r="G175" s="7" t="n">
        <f aca="false">AND(B175&gt;=D175,B175&lt;=E175)</f>
        <v>1</v>
      </c>
    </row>
    <row r="176" customFormat="false" ht="12.75" hidden="false" customHeight="false" outlineLevel="0" collapsed="false">
      <c r="A176" s="3" t="s">
        <v>182</v>
      </c>
      <c r="B176" s="1" t="n">
        <v>0.017</v>
      </c>
      <c r="C176" s="1" t="s">
        <v>87</v>
      </c>
      <c r="E176" s="2" t="n">
        <v>0.03</v>
      </c>
      <c r="F176" s="3" t="s">
        <v>125</v>
      </c>
      <c r="G176" s="7" t="n">
        <f aca="false">AND(B176&gt;=D176,B176&lt;=E176)</f>
        <v>1</v>
      </c>
    </row>
    <row r="177" customFormat="false" ht="12.75" hidden="false" customHeight="false" outlineLevel="0" collapsed="false">
      <c r="A177" s="3" t="s">
        <v>183</v>
      </c>
      <c r="B177" s="1" t="n">
        <v>18.47</v>
      </c>
      <c r="C177" s="1" t="s">
        <v>134</v>
      </c>
      <c r="D177" s="2" t="n">
        <v>15</v>
      </c>
      <c r="E177" s="2" t="n">
        <v>20</v>
      </c>
      <c r="F177" s="3" t="s">
        <v>125</v>
      </c>
      <c r="G177" s="7" t="n">
        <f aca="false">AND(B177&gt;=D177,B177&lt;=E177)</f>
        <v>1</v>
      </c>
    </row>
    <row r="178" customFormat="false" ht="12.75" hidden="false" customHeight="false" outlineLevel="0" collapsed="false">
      <c r="A178" s="3" t="s">
        <v>184</v>
      </c>
      <c r="B178" s="1" t="n">
        <v>8.167</v>
      </c>
      <c r="C178" s="11" t="s">
        <v>136</v>
      </c>
      <c r="D178" s="2" t="n">
        <v>8</v>
      </c>
      <c r="E178" s="2" t="n">
        <v>19</v>
      </c>
      <c r="F178" s="3" t="s">
        <v>125</v>
      </c>
      <c r="G178" s="7" t="n">
        <f aca="false">AND(B178&gt;=D178,B178&lt;=E178)</f>
        <v>1</v>
      </c>
    </row>
    <row r="179" customFormat="false" ht="12.75" hidden="false" customHeight="false" outlineLevel="0" collapsed="false">
      <c r="A179" s="3" t="s">
        <v>185</v>
      </c>
      <c r="B179" s="1" t="n">
        <v>0.249</v>
      </c>
      <c r="F179" s="3" t="s">
        <v>125</v>
      </c>
      <c r="G179" s="7"/>
    </row>
    <row r="180" customFormat="false" ht="12.75" hidden="false" customHeight="false" outlineLevel="0" collapsed="false">
      <c r="A180" s="3" t="s">
        <v>186</v>
      </c>
      <c r="B180" s="1" t="n">
        <v>0.419</v>
      </c>
      <c r="C180" s="1" t="s">
        <v>139</v>
      </c>
      <c r="E180" s="2" t="n">
        <v>4</v>
      </c>
      <c r="F180" s="3" t="s">
        <v>125</v>
      </c>
      <c r="G180" s="7" t="b">
        <f aca="false">AND(B180&gt;=D180,B180&lt;=E180)</f>
        <v>1</v>
      </c>
    </row>
    <row r="181" customFormat="false" ht="12.75" hidden="false" customHeight="false" outlineLevel="0" collapsed="false">
      <c r="A181" s="3" t="s">
        <v>140</v>
      </c>
      <c r="B181" s="1" t="s">
        <v>140</v>
      </c>
      <c r="F181" s="3" t="s">
        <v>125</v>
      </c>
      <c r="G181" s="7"/>
    </row>
    <row r="182" customFormat="false" ht="12.75" hidden="false" customHeight="false" outlineLevel="0" collapsed="false">
      <c r="A182" s="3" t="s">
        <v>163</v>
      </c>
      <c r="B182" s="1" t="n">
        <v>0.028</v>
      </c>
      <c r="C182" s="1" t="s">
        <v>85</v>
      </c>
      <c r="E182" s="2" t="n">
        <v>0.1</v>
      </c>
      <c r="F182" s="3" t="s">
        <v>125</v>
      </c>
      <c r="G182" s="7" t="n">
        <f aca="false">AND(B182&gt;=D182,B182&lt;=E182)</f>
        <v>1</v>
      </c>
    </row>
    <row r="183" customFormat="false" ht="12.75" hidden="false" customHeight="false" outlineLevel="0" collapsed="false">
      <c r="A183" s="3" t="s">
        <v>126</v>
      </c>
      <c r="B183" s="1" t="n">
        <v>0.383</v>
      </c>
      <c r="C183" s="1" t="s">
        <v>127</v>
      </c>
      <c r="E183" s="2" t="n">
        <v>1</v>
      </c>
      <c r="F183" s="3" t="s">
        <v>125</v>
      </c>
      <c r="G183" s="7" t="n">
        <f aca="false">AND(B183&gt;=D183,B183&lt;=E183)</f>
        <v>1</v>
      </c>
    </row>
    <row r="184" customFormat="false" ht="12.75" hidden="false" customHeight="false" outlineLevel="0" collapsed="false">
      <c r="A184" s="3" t="s">
        <v>187</v>
      </c>
      <c r="B184" s="1" t="n">
        <v>1.77</v>
      </c>
      <c r="C184" s="1" t="s">
        <v>129</v>
      </c>
      <c r="E184" s="2" t="n">
        <v>2</v>
      </c>
      <c r="F184" s="3" t="s">
        <v>125</v>
      </c>
      <c r="G184" s="7" t="n">
        <f aca="false">AND(B184&gt;=D184,B184&lt;=E184)</f>
        <v>1</v>
      </c>
    </row>
    <row r="185" customFormat="false" ht="12.75" hidden="false" customHeight="false" outlineLevel="0" collapsed="false">
      <c r="A185" s="3" t="s">
        <v>188</v>
      </c>
      <c r="B185" s="1" t="n">
        <v>0.031</v>
      </c>
      <c r="C185" s="1" t="s">
        <v>131</v>
      </c>
      <c r="E185" s="2" t="n">
        <v>0.05</v>
      </c>
      <c r="F185" s="3" t="s">
        <v>125</v>
      </c>
      <c r="G185" s="7" t="n">
        <f aca="false">AND(B185&gt;=D185,B185&lt;=E185)</f>
        <v>1</v>
      </c>
    </row>
    <row r="186" customFormat="false" ht="12.75" hidden="false" customHeight="false" outlineLevel="0" collapsed="false">
      <c r="A186" s="3" t="s">
        <v>182</v>
      </c>
      <c r="B186" s="1" t="n">
        <v>0.017</v>
      </c>
      <c r="C186" s="1" t="s">
        <v>87</v>
      </c>
      <c r="E186" s="2" t="n">
        <v>0.03</v>
      </c>
      <c r="F186" s="3" t="s">
        <v>125</v>
      </c>
      <c r="G186" s="7" t="n">
        <f aca="false">AND(B186&gt;=D186,B186&lt;=E186)</f>
        <v>1</v>
      </c>
    </row>
    <row r="187" customFormat="false" ht="12.75" hidden="false" customHeight="false" outlineLevel="0" collapsed="false">
      <c r="A187" s="3" t="s">
        <v>189</v>
      </c>
      <c r="B187" s="1" t="n">
        <v>18.34</v>
      </c>
      <c r="C187" s="1" t="s">
        <v>134</v>
      </c>
      <c r="D187" s="2" t="n">
        <v>15</v>
      </c>
      <c r="E187" s="2" t="n">
        <v>20</v>
      </c>
      <c r="F187" s="3" t="s">
        <v>125</v>
      </c>
      <c r="G187" s="7" t="n">
        <f aca="false">AND(B187&gt;=D187,B187&lt;=E187)</f>
        <v>1</v>
      </c>
    </row>
    <row r="188" customFormat="false" ht="12.75" hidden="false" customHeight="false" outlineLevel="0" collapsed="false">
      <c r="A188" s="3" t="s">
        <v>190</v>
      </c>
      <c r="B188" s="1" t="n">
        <v>8.246</v>
      </c>
      <c r="C188" s="11" t="s">
        <v>136</v>
      </c>
      <c r="D188" s="2" t="n">
        <v>8</v>
      </c>
      <c r="E188" s="2" t="n">
        <v>19</v>
      </c>
      <c r="F188" s="3" t="s">
        <v>125</v>
      </c>
      <c r="G188" s="7" t="n">
        <f aca="false">AND(B188&gt;=D188,B188&lt;=E188)</f>
        <v>1</v>
      </c>
    </row>
    <row r="189" customFormat="false" ht="12.75" hidden="false" customHeight="false" outlineLevel="0" collapsed="false">
      <c r="A189" s="3" t="s">
        <v>170</v>
      </c>
      <c r="B189" s="1" t="n">
        <v>0.247</v>
      </c>
      <c r="F189" s="3" t="s">
        <v>125</v>
      </c>
      <c r="G189" s="7"/>
    </row>
    <row r="190" customFormat="false" ht="12.75" hidden="false" customHeight="false" outlineLevel="0" collapsed="false">
      <c r="A190" s="3" t="s">
        <v>191</v>
      </c>
      <c r="B190" s="1" t="n">
        <v>0.423</v>
      </c>
      <c r="C190" s="1" t="s">
        <v>139</v>
      </c>
      <c r="E190" s="2" t="n">
        <v>4</v>
      </c>
      <c r="F190" s="3" t="s">
        <v>125</v>
      </c>
      <c r="G190" s="7" t="b">
        <f aca="false">AND(B190&gt;=D190,B190&lt;=E190)</f>
        <v>1</v>
      </c>
    </row>
    <row r="191" customFormat="false" ht="12.75" hidden="false" customHeight="false" outlineLevel="0" collapsed="false">
      <c r="A191" s="3" t="s">
        <v>140</v>
      </c>
      <c r="B191" s="1" t="s">
        <v>140</v>
      </c>
      <c r="F191" s="3" t="s">
        <v>125</v>
      </c>
      <c r="G191" s="7"/>
    </row>
    <row r="192" customFormat="false" ht="12.75" hidden="false" customHeight="false" outlineLevel="0" collapsed="false">
      <c r="A192" s="3" t="s">
        <v>163</v>
      </c>
      <c r="B192" s="1" t="n">
        <v>0.028</v>
      </c>
      <c r="C192" s="1" t="s">
        <v>85</v>
      </c>
      <c r="E192" s="2" t="n">
        <v>0.1</v>
      </c>
      <c r="F192" s="3" t="s">
        <v>125</v>
      </c>
      <c r="G192" s="7" t="n">
        <f aca="false">AND(B192&gt;=D192,B192&lt;=E192)</f>
        <v>1</v>
      </c>
    </row>
    <row r="193" customFormat="false" ht="12.75" hidden="false" customHeight="false" outlineLevel="0" collapsed="false">
      <c r="A193" s="3" t="s">
        <v>192</v>
      </c>
      <c r="B193" s="1" t="n">
        <v>0.385</v>
      </c>
      <c r="C193" s="1" t="s">
        <v>127</v>
      </c>
      <c r="E193" s="2" t="n">
        <v>1</v>
      </c>
      <c r="F193" s="3" t="s">
        <v>125</v>
      </c>
      <c r="G193" s="7" t="n">
        <f aca="false">AND(B193&gt;=D193,B193&lt;=E193)</f>
        <v>1</v>
      </c>
    </row>
    <row r="194" customFormat="false" ht="12.75" hidden="false" customHeight="false" outlineLevel="0" collapsed="false">
      <c r="A194" s="3" t="s">
        <v>193</v>
      </c>
      <c r="B194" s="1" t="n">
        <v>1.783</v>
      </c>
      <c r="C194" s="1" t="s">
        <v>129</v>
      </c>
      <c r="E194" s="2" t="n">
        <v>2</v>
      </c>
      <c r="F194" s="3" t="s">
        <v>125</v>
      </c>
      <c r="G194" s="7" t="n">
        <f aca="false">AND(B194&gt;=D194,B194&lt;=E194)</f>
        <v>1</v>
      </c>
    </row>
    <row r="195" customFormat="false" ht="12.75" hidden="false" customHeight="false" outlineLevel="0" collapsed="false">
      <c r="A195" s="3" t="s">
        <v>194</v>
      </c>
      <c r="B195" s="1" t="n">
        <v>0.029</v>
      </c>
      <c r="C195" s="1" t="s">
        <v>131</v>
      </c>
      <c r="E195" s="2" t="n">
        <v>0.05</v>
      </c>
      <c r="F195" s="3" t="s">
        <v>125</v>
      </c>
      <c r="G195" s="7" t="n">
        <f aca="false">AND(B195&gt;=D195,B195&lt;=E195)</f>
        <v>1</v>
      </c>
    </row>
    <row r="196" customFormat="false" ht="12.75" hidden="false" customHeight="false" outlineLevel="0" collapsed="false">
      <c r="A196" s="3" t="s">
        <v>195</v>
      </c>
      <c r="B196" s="1" t="n">
        <v>0.016</v>
      </c>
      <c r="C196" s="1" t="s">
        <v>87</v>
      </c>
      <c r="E196" s="2" t="n">
        <v>0.03</v>
      </c>
      <c r="F196" s="3" t="s">
        <v>125</v>
      </c>
      <c r="G196" s="7" t="n">
        <f aca="false">AND(B196&gt;=D196,B196&lt;=E196)</f>
        <v>1</v>
      </c>
    </row>
    <row r="197" customFormat="false" ht="12.75" hidden="false" customHeight="false" outlineLevel="0" collapsed="false">
      <c r="A197" s="3" t="s">
        <v>196</v>
      </c>
      <c r="B197" s="1" t="n">
        <v>18.33</v>
      </c>
      <c r="C197" s="1" t="s">
        <v>134</v>
      </c>
      <c r="D197" s="2" t="n">
        <v>15</v>
      </c>
      <c r="E197" s="2" t="n">
        <v>20</v>
      </c>
      <c r="F197" s="3" t="s">
        <v>125</v>
      </c>
      <c r="G197" s="7" t="n">
        <f aca="false">AND(B197&gt;=D197,B197&lt;=E197)</f>
        <v>1</v>
      </c>
    </row>
    <row r="198" customFormat="false" ht="12.75" hidden="false" customHeight="false" outlineLevel="0" collapsed="false">
      <c r="A198" s="3" t="s">
        <v>197</v>
      </c>
      <c r="B198" s="1" t="n">
        <v>8.215</v>
      </c>
      <c r="C198" s="11" t="s">
        <v>136</v>
      </c>
      <c r="D198" s="2" t="n">
        <v>8</v>
      </c>
      <c r="E198" s="2" t="n">
        <v>19</v>
      </c>
      <c r="F198" s="3" t="s">
        <v>125</v>
      </c>
      <c r="G198" s="7" t="n">
        <f aca="false">AND(B198&gt;=D198,B198&lt;=E198)</f>
        <v>1</v>
      </c>
    </row>
    <row r="199" customFormat="false" ht="12.75" hidden="false" customHeight="false" outlineLevel="0" collapsed="false">
      <c r="A199" s="3" t="s">
        <v>198</v>
      </c>
      <c r="B199" s="1" t="n">
        <v>0.248</v>
      </c>
      <c r="F199" s="3" t="s">
        <v>125</v>
      </c>
      <c r="G199" s="7"/>
    </row>
    <row r="200" customFormat="false" ht="12.75" hidden="false" customHeight="false" outlineLevel="0" collapsed="false">
      <c r="A200" s="3" t="s">
        <v>199</v>
      </c>
      <c r="B200" s="1" t="n">
        <v>0.425</v>
      </c>
      <c r="C200" s="1" t="s">
        <v>139</v>
      </c>
      <c r="E200" s="2" t="n">
        <v>4</v>
      </c>
      <c r="F200" s="3" t="s">
        <v>125</v>
      </c>
      <c r="G200" s="7" t="b">
        <f aca="false">AND(B200&gt;=D200,B200&lt;=E200)</f>
        <v>1</v>
      </c>
    </row>
    <row r="201" customFormat="false" ht="12.75" hidden="false" customHeight="false" outlineLevel="0" collapsed="false">
      <c r="A201" s="3" t="s">
        <v>140</v>
      </c>
      <c r="B201" s="1" t="s">
        <v>140</v>
      </c>
      <c r="F201" s="3" t="s">
        <v>125</v>
      </c>
      <c r="G201" s="7"/>
    </row>
    <row r="202" customFormat="false" ht="12.75" hidden="false" customHeight="false" outlineLevel="0" collapsed="false">
      <c r="A202" s="3" t="s">
        <v>163</v>
      </c>
      <c r="B202" s="1" t="n">
        <v>0.028</v>
      </c>
      <c r="C202" s="1" t="s">
        <v>85</v>
      </c>
      <c r="E202" s="2" t="n">
        <v>0.1</v>
      </c>
      <c r="F202" s="3" t="s">
        <v>125</v>
      </c>
      <c r="G202" s="7" t="n">
        <f aca="false">AND(B202&gt;=D202,B202&lt;=E202)</f>
        <v>1</v>
      </c>
    </row>
    <row r="203" customFormat="false" ht="12.75" hidden="false" customHeight="false" outlineLevel="0" collapsed="false">
      <c r="A203" s="3" t="s">
        <v>200</v>
      </c>
      <c r="B203" s="1" t="n">
        <v>0.393</v>
      </c>
      <c r="C203" s="1" t="s">
        <v>127</v>
      </c>
      <c r="E203" s="2" t="n">
        <v>1</v>
      </c>
      <c r="F203" s="3" t="s">
        <v>125</v>
      </c>
      <c r="G203" s="7" t="n">
        <f aca="false">AND(B203&gt;=D203,B203&lt;=E203)</f>
        <v>1</v>
      </c>
    </row>
    <row r="204" customFormat="false" ht="12.75" hidden="false" customHeight="false" outlineLevel="0" collapsed="false">
      <c r="A204" s="3" t="s">
        <v>201</v>
      </c>
      <c r="B204" s="1" t="n">
        <v>1.736</v>
      </c>
      <c r="C204" s="1" t="s">
        <v>129</v>
      </c>
      <c r="E204" s="2" t="n">
        <v>2</v>
      </c>
      <c r="F204" s="3" t="s">
        <v>125</v>
      </c>
      <c r="G204" s="7" t="n">
        <f aca="false">AND(B204&gt;=D204,B204&lt;=E204)</f>
        <v>1</v>
      </c>
    </row>
    <row r="205" customFormat="false" ht="12.75" hidden="false" customHeight="false" outlineLevel="0" collapsed="false">
      <c r="A205" s="3" t="s">
        <v>157</v>
      </c>
      <c r="B205" s="1" t="n">
        <v>0.035</v>
      </c>
      <c r="C205" s="1" t="s">
        <v>131</v>
      </c>
      <c r="E205" s="2" t="n">
        <v>0.05</v>
      </c>
      <c r="F205" s="3" t="s">
        <v>125</v>
      </c>
      <c r="G205" s="7" t="n">
        <f aca="false">AND(B205&gt;=D205,B205&lt;=E205)</f>
        <v>1</v>
      </c>
    </row>
    <row r="206" customFormat="false" ht="12.75" hidden="false" customHeight="false" outlineLevel="0" collapsed="false">
      <c r="A206" s="3" t="s">
        <v>167</v>
      </c>
      <c r="B206" s="1" t="n">
        <v>0.018</v>
      </c>
      <c r="C206" s="1" t="s">
        <v>87</v>
      </c>
      <c r="E206" s="2" t="n">
        <v>0.03</v>
      </c>
      <c r="F206" s="3" t="s">
        <v>125</v>
      </c>
      <c r="G206" s="7" t="n">
        <f aca="false">AND(B206&gt;=D206,B206&lt;=E206)</f>
        <v>1</v>
      </c>
    </row>
    <row r="207" customFormat="false" ht="12.75" hidden="false" customHeight="false" outlineLevel="0" collapsed="false">
      <c r="A207" s="3" t="s">
        <v>202</v>
      </c>
      <c r="B207" s="1" t="n">
        <v>18.28</v>
      </c>
      <c r="C207" s="1" t="s">
        <v>134</v>
      </c>
      <c r="D207" s="2" t="n">
        <v>15</v>
      </c>
      <c r="E207" s="2" t="n">
        <v>20</v>
      </c>
      <c r="F207" s="3" t="s">
        <v>125</v>
      </c>
      <c r="G207" s="7" t="n">
        <f aca="false">AND(B207&gt;=D207,B207&lt;=E207)</f>
        <v>1</v>
      </c>
    </row>
    <row r="208" customFormat="false" ht="12.75" hidden="false" customHeight="false" outlineLevel="0" collapsed="false">
      <c r="A208" s="3" t="s">
        <v>203</v>
      </c>
      <c r="B208" s="1" t="n">
        <v>8.156</v>
      </c>
      <c r="C208" s="11" t="s">
        <v>136</v>
      </c>
      <c r="D208" s="2" t="n">
        <v>8</v>
      </c>
      <c r="E208" s="2" t="n">
        <v>19</v>
      </c>
      <c r="F208" s="3" t="s">
        <v>125</v>
      </c>
      <c r="G208" s="7" t="n">
        <f aca="false">AND(B208&gt;=D208,B208&lt;=E208)</f>
        <v>1</v>
      </c>
    </row>
    <row r="209" customFormat="false" ht="12.75" hidden="false" customHeight="false" outlineLevel="0" collapsed="false">
      <c r="A209" s="3" t="s">
        <v>185</v>
      </c>
      <c r="B209" s="1" t="n">
        <v>0.249</v>
      </c>
      <c r="F209" s="3" t="s">
        <v>125</v>
      </c>
      <c r="G209" s="7"/>
    </row>
    <row r="210" customFormat="false" ht="12.75" hidden="false" customHeight="false" outlineLevel="0" collapsed="false">
      <c r="A210" s="3" t="s">
        <v>204</v>
      </c>
      <c r="B210" s="1" t="n">
        <v>0.42</v>
      </c>
      <c r="C210" s="1" t="s">
        <v>139</v>
      </c>
      <c r="E210" s="2" t="n">
        <v>4</v>
      </c>
      <c r="F210" s="3" t="s">
        <v>125</v>
      </c>
      <c r="G210" s="7" t="b">
        <f aca="false">AND(B210&gt;=D210,B210&lt;=E210)</f>
        <v>1</v>
      </c>
    </row>
    <row r="211" customFormat="false" ht="12.75" hidden="false" customHeight="false" outlineLevel="0" collapsed="false">
      <c r="A211" s="3" t="s">
        <v>140</v>
      </c>
      <c r="B211" s="1" t="s">
        <v>140</v>
      </c>
      <c r="F211" s="3" t="s">
        <v>125</v>
      </c>
      <c r="G211" s="7"/>
    </row>
    <row r="212" customFormat="false" ht="12.75" hidden="false" customHeight="false" outlineLevel="0" collapsed="false">
      <c r="A212" s="3" t="s">
        <v>172</v>
      </c>
      <c r="B212" s="1" t="n">
        <v>0.029</v>
      </c>
      <c r="C212" s="1" t="s">
        <v>85</v>
      </c>
      <c r="E212" s="2" t="n">
        <v>0.1</v>
      </c>
      <c r="F212" s="3" t="s">
        <v>125</v>
      </c>
      <c r="G212" s="7" t="n">
        <f aca="false">AND(B212&gt;=D212,B212&lt;=E212)</f>
        <v>1</v>
      </c>
    </row>
    <row r="213" customFormat="false" ht="12.75" hidden="false" customHeight="false" outlineLevel="0" collapsed="false">
      <c r="A213" s="3" t="s">
        <v>205</v>
      </c>
      <c r="B213" s="1" t="n">
        <v>0.395</v>
      </c>
      <c r="C213" s="1" t="s">
        <v>127</v>
      </c>
      <c r="E213" s="2" t="n">
        <v>1</v>
      </c>
      <c r="F213" s="3" t="s">
        <v>125</v>
      </c>
      <c r="G213" s="7" t="n">
        <f aca="false">AND(B213&gt;=D213,B213&lt;=E213)</f>
        <v>1</v>
      </c>
    </row>
    <row r="214" customFormat="false" ht="12.75" hidden="false" customHeight="false" outlineLevel="0" collapsed="false">
      <c r="A214" s="3" t="s">
        <v>201</v>
      </c>
      <c r="B214" s="1" t="n">
        <v>1.736</v>
      </c>
      <c r="C214" s="1" t="s">
        <v>129</v>
      </c>
      <c r="E214" s="2" t="n">
        <v>2</v>
      </c>
      <c r="F214" s="3" t="s">
        <v>125</v>
      </c>
      <c r="G214" s="7" t="n">
        <f aca="false">AND(B214&gt;=D214,B214&lt;=E214)</f>
        <v>1</v>
      </c>
    </row>
    <row r="215" customFormat="false" ht="12.75" hidden="false" customHeight="false" outlineLevel="0" collapsed="false">
      <c r="A215" s="3" t="s">
        <v>149</v>
      </c>
      <c r="B215" s="1" t="n">
        <v>0.034</v>
      </c>
      <c r="C215" s="1" t="s">
        <v>131</v>
      </c>
      <c r="E215" s="2" t="n">
        <v>0.05</v>
      </c>
      <c r="F215" s="3" t="s">
        <v>125</v>
      </c>
      <c r="G215" s="7" t="n">
        <f aca="false">AND(B215&gt;=D215,B215&lt;=E215)</f>
        <v>1</v>
      </c>
    </row>
    <row r="216" customFormat="false" ht="12.75" hidden="false" customHeight="false" outlineLevel="0" collapsed="false">
      <c r="A216" s="3" t="s">
        <v>175</v>
      </c>
      <c r="B216" s="1" t="n">
        <v>0.019</v>
      </c>
      <c r="C216" s="1" t="s">
        <v>87</v>
      </c>
      <c r="E216" s="2" t="n">
        <v>0.03</v>
      </c>
      <c r="F216" s="3" t="s">
        <v>125</v>
      </c>
      <c r="G216" s="7" t="n">
        <f aca="false">AND(B216&gt;=D216,B216&lt;=E216)</f>
        <v>1</v>
      </c>
    </row>
    <row r="217" customFormat="false" ht="12.75" hidden="false" customHeight="false" outlineLevel="0" collapsed="false">
      <c r="A217" s="3" t="s">
        <v>168</v>
      </c>
      <c r="B217" s="1" t="n">
        <v>18.43</v>
      </c>
      <c r="C217" s="1" t="s">
        <v>134</v>
      </c>
      <c r="D217" s="2" t="n">
        <v>15</v>
      </c>
      <c r="E217" s="2" t="n">
        <v>20</v>
      </c>
      <c r="F217" s="3" t="s">
        <v>125</v>
      </c>
      <c r="G217" s="7" t="n">
        <f aca="false">AND(B217&gt;=D217,B217&lt;=E217)</f>
        <v>1</v>
      </c>
    </row>
    <row r="218" customFormat="false" ht="12.75" hidden="false" customHeight="false" outlineLevel="0" collapsed="false">
      <c r="A218" s="3" t="s">
        <v>206</v>
      </c>
      <c r="B218" s="1" t="n">
        <v>8.276</v>
      </c>
      <c r="C218" s="11" t="s">
        <v>136</v>
      </c>
      <c r="D218" s="2" t="n">
        <v>8</v>
      </c>
      <c r="E218" s="2" t="n">
        <v>19</v>
      </c>
      <c r="F218" s="3" t="s">
        <v>125</v>
      </c>
      <c r="G218" s="7" t="n">
        <f aca="false">AND(B218&gt;=D218,B218&lt;=E218)</f>
        <v>1</v>
      </c>
    </row>
    <row r="219" customFormat="false" ht="12.75" hidden="false" customHeight="false" outlineLevel="0" collapsed="false">
      <c r="A219" s="3" t="s">
        <v>137</v>
      </c>
      <c r="B219" s="1" t="n">
        <v>0.246</v>
      </c>
      <c r="F219" s="3" t="s">
        <v>125</v>
      </c>
      <c r="G219" s="7"/>
    </row>
    <row r="220" customFormat="false" ht="12.75" hidden="false" customHeight="false" outlineLevel="0" collapsed="false">
      <c r="A220" s="3" t="s">
        <v>204</v>
      </c>
      <c r="B220" s="1" t="n">
        <v>0.42</v>
      </c>
      <c r="C220" s="1" t="s">
        <v>139</v>
      </c>
      <c r="E220" s="2" t="n">
        <v>4</v>
      </c>
      <c r="F220" s="3" t="s">
        <v>125</v>
      </c>
      <c r="G220" s="7" t="b">
        <f aca="false">AND(B220&gt;=D220,B220&lt;=E220)</f>
        <v>1</v>
      </c>
    </row>
    <row r="221" customFormat="false" ht="12.75" hidden="false" customHeight="false" outlineLevel="0" collapsed="false">
      <c r="A221" s="3" t="s">
        <v>140</v>
      </c>
      <c r="B221" s="1" t="s">
        <v>140</v>
      </c>
      <c r="F221" s="3" t="s">
        <v>125</v>
      </c>
      <c r="G221" s="7"/>
    </row>
    <row r="222" customFormat="false" ht="12.75" hidden="false" customHeight="false" outlineLevel="0" collapsed="false">
      <c r="A222" s="3" t="s">
        <v>172</v>
      </c>
      <c r="B222" s="1" t="n">
        <v>0.029</v>
      </c>
      <c r="C222" s="1" t="s">
        <v>85</v>
      </c>
      <c r="E222" s="2" t="n">
        <v>0.1</v>
      </c>
      <c r="F222" s="3" t="s">
        <v>125</v>
      </c>
      <c r="G222" s="7" t="n">
        <f aca="false">AND(B222&gt;=D222,B222&lt;=E222)</f>
        <v>1</v>
      </c>
    </row>
    <row r="223" customFormat="false" ht="12.75" hidden="false" customHeight="false" outlineLevel="0" collapsed="false">
      <c r="A223" s="3" t="s">
        <v>207</v>
      </c>
      <c r="B223" s="1" t="n">
        <v>0.401</v>
      </c>
      <c r="C223" s="1" t="s">
        <v>127</v>
      </c>
      <c r="E223" s="2" t="n">
        <v>1</v>
      </c>
      <c r="F223" s="3" t="s">
        <v>125</v>
      </c>
      <c r="G223" s="7" t="n">
        <f aca="false">AND(B223&gt;=D223,B223&lt;=E223)</f>
        <v>1</v>
      </c>
    </row>
    <row r="224" customFormat="false" ht="12.75" hidden="false" customHeight="false" outlineLevel="0" collapsed="false">
      <c r="A224" s="3" t="s">
        <v>180</v>
      </c>
      <c r="B224" s="1" t="n">
        <v>1.74</v>
      </c>
      <c r="C224" s="1" t="s">
        <v>129</v>
      </c>
      <c r="E224" s="2" t="n">
        <v>2</v>
      </c>
      <c r="F224" s="3" t="s">
        <v>125</v>
      </c>
      <c r="G224" s="7" t="n">
        <f aca="false">AND(B224&gt;=D224,B224&lt;=E224)</f>
        <v>1</v>
      </c>
    </row>
    <row r="225" customFormat="false" ht="12.75" hidden="false" customHeight="false" outlineLevel="0" collapsed="false">
      <c r="A225" s="3" t="s">
        <v>166</v>
      </c>
      <c r="B225" s="1" t="n">
        <v>0.032</v>
      </c>
      <c r="C225" s="1" t="s">
        <v>131</v>
      </c>
      <c r="E225" s="2" t="n">
        <v>0.05</v>
      </c>
      <c r="F225" s="3" t="s">
        <v>125</v>
      </c>
      <c r="G225" s="7" t="n">
        <f aca="false">AND(B225&gt;=D225,B225&lt;=E225)</f>
        <v>1</v>
      </c>
    </row>
    <row r="226" customFormat="false" ht="12.75" hidden="false" customHeight="false" outlineLevel="0" collapsed="false">
      <c r="A226" s="3" t="s">
        <v>167</v>
      </c>
      <c r="B226" s="1" t="n">
        <v>0.018</v>
      </c>
      <c r="C226" s="1" t="s">
        <v>87</v>
      </c>
      <c r="E226" s="2" t="n">
        <v>0.03</v>
      </c>
      <c r="F226" s="3" t="s">
        <v>125</v>
      </c>
      <c r="G226" s="7" t="n">
        <f aca="false">AND(B226&gt;=D226,B226&lt;=E226)</f>
        <v>1</v>
      </c>
    </row>
    <row r="227" customFormat="false" ht="12.75" hidden="false" customHeight="false" outlineLevel="0" collapsed="false">
      <c r="A227" s="3" t="s">
        <v>208</v>
      </c>
      <c r="B227" s="1" t="n">
        <v>18.36</v>
      </c>
      <c r="C227" s="1" t="s">
        <v>134</v>
      </c>
      <c r="D227" s="2" t="n">
        <v>15</v>
      </c>
      <c r="E227" s="2" t="n">
        <v>20</v>
      </c>
      <c r="F227" s="3" t="s">
        <v>125</v>
      </c>
      <c r="G227" s="7" t="n">
        <f aca="false">AND(B227&gt;=D227,B227&lt;=E227)</f>
        <v>1</v>
      </c>
    </row>
    <row r="228" customFormat="false" ht="12.75" hidden="false" customHeight="false" outlineLevel="0" collapsed="false">
      <c r="A228" s="3" t="s">
        <v>209</v>
      </c>
      <c r="B228" s="1" t="n">
        <v>8.212</v>
      </c>
      <c r="C228" s="11" t="s">
        <v>136</v>
      </c>
      <c r="D228" s="2" t="n">
        <v>8</v>
      </c>
      <c r="E228" s="2" t="n">
        <v>19</v>
      </c>
      <c r="F228" s="3" t="s">
        <v>125</v>
      </c>
      <c r="G228" s="7" t="n">
        <f aca="false">AND(B228&gt;=D228,B228&lt;=E228)</f>
        <v>1</v>
      </c>
    </row>
    <row r="229" customFormat="false" ht="12.75" hidden="false" customHeight="false" outlineLevel="0" collapsed="false">
      <c r="A229" s="3" t="s">
        <v>210</v>
      </c>
      <c r="B229" s="1" t="n">
        <v>0.243</v>
      </c>
      <c r="F229" s="3" t="s">
        <v>125</v>
      </c>
      <c r="G229" s="7"/>
    </row>
    <row r="230" customFormat="false" ht="12.75" hidden="false" customHeight="false" outlineLevel="0" collapsed="false">
      <c r="A230" s="3" t="s">
        <v>211</v>
      </c>
      <c r="B230" s="1" t="n">
        <v>0.422</v>
      </c>
      <c r="C230" s="1" t="s">
        <v>139</v>
      </c>
      <c r="E230" s="2" t="n">
        <v>4</v>
      </c>
      <c r="F230" s="3" t="s">
        <v>125</v>
      </c>
      <c r="G230" s="7" t="b">
        <f aca="false">AND(B230&gt;=D230,B230&lt;=E230)</f>
        <v>1</v>
      </c>
    </row>
    <row r="231" customFormat="false" ht="12.75" hidden="false" customHeight="false" outlineLevel="0" collapsed="false">
      <c r="A231" s="3" t="s">
        <v>140</v>
      </c>
      <c r="B231" s="1" t="s">
        <v>140</v>
      </c>
      <c r="F231" s="3" t="s">
        <v>125</v>
      </c>
      <c r="G231" s="7"/>
    </row>
    <row r="232" customFormat="false" ht="12.75" hidden="false" customHeight="false" outlineLevel="0" collapsed="false">
      <c r="A232" s="3" t="s">
        <v>172</v>
      </c>
      <c r="B232" s="1" t="n">
        <v>0.029</v>
      </c>
      <c r="C232" s="1" t="s">
        <v>85</v>
      </c>
      <c r="E232" s="2" t="n">
        <v>0.1</v>
      </c>
      <c r="F232" s="3" t="s">
        <v>125</v>
      </c>
      <c r="G232" s="7" t="n">
        <f aca="false">AND(B232&gt;=D232,B232&lt;=E232)</f>
        <v>1</v>
      </c>
    </row>
    <row r="233" customFormat="false" ht="12.75" hidden="false" customHeight="false" outlineLevel="0" collapsed="false">
      <c r="A233" s="3" t="s">
        <v>212</v>
      </c>
      <c r="B233" s="1" t="n">
        <v>0.397</v>
      </c>
      <c r="C233" s="1" t="s">
        <v>127</v>
      </c>
      <c r="E233" s="2" t="n">
        <v>1</v>
      </c>
      <c r="F233" s="3" t="s">
        <v>125</v>
      </c>
      <c r="G233" s="7" t="n">
        <f aca="false">AND(B233&gt;=D233,B233&lt;=E233)</f>
        <v>1</v>
      </c>
    </row>
    <row r="234" customFormat="false" ht="12.75" hidden="false" customHeight="false" outlineLevel="0" collapsed="false">
      <c r="A234" s="3" t="s">
        <v>213</v>
      </c>
      <c r="B234" s="1" t="n">
        <v>1.754</v>
      </c>
      <c r="C234" s="1" t="s">
        <v>129</v>
      </c>
      <c r="E234" s="2" t="n">
        <v>2</v>
      </c>
      <c r="F234" s="3" t="s">
        <v>125</v>
      </c>
      <c r="G234" s="7" t="n">
        <f aca="false">AND(B234&gt;=D234,B234&lt;=E234)</f>
        <v>1</v>
      </c>
    </row>
    <row r="235" customFormat="false" ht="12.75" hidden="false" customHeight="false" outlineLevel="0" collapsed="false">
      <c r="A235" s="3" t="s">
        <v>149</v>
      </c>
      <c r="B235" s="1" t="n">
        <v>0.034</v>
      </c>
      <c r="C235" s="1" t="s">
        <v>131</v>
      </c>
      <c r="E235" s="2" t="n">
        <v>0.05</v>
      </c>
      <c r="F235" s="3" t="s">
        <v>125</v>
      </c>
      <c r="G235" s="7" t="n">
        <f aca="false">AND(B235&gt;=D235,B235&lt;=E235)</f>
        <v>1</v>
      </c>
    </row>
    <row r="236" customFormat="false" ht="12.75" hidden="false" customHeight="false" outlineLevel="0" collapsed="false">
      <c r="A236" s="3" t="s">
        <v>167</v>
      </c>
      <c r="B236" s="1" t="n">
        <v>0.018</v>
      </c>
      <c r="C236" s="1" t="s">
        <v>87</v>
      </c>
      <c r="E236" s="2" t="n">
        <v>0.03</v>
      </c>
      <c r="F236" s="3" t="s">
        <v>125</v>
      </c>
      <c r="G236" s="7" t="n">
        <f aca="false">AND(B236&gt;=D236,B236&lt;=E236)</f>
        <v>1</v>
      </c>
    </row>
    <row r="237" customFormat="false" ht="12.75" hidden="false" customHeight="false" outlineLevel="0" collapsed="false">
      <c r="A237" s="3" t="s">
        <v>214</v>
      </c>
      <c r="B237" s="1" t="n">
        <v>18.44</v>
      </c>
      <c r="C237" s="1" t="s">
        <v>134</v>
      </c>
      <c r="D237" s="2" t="n">
        <v>15</v>
      </c>
      <c r="E237" s="2" t="n">
        <v>20</v>
      </c>
      <c r="F237" s="3" t="s">
        <v>125</v>
      </c>
      <c r="G237" s="7" t="n">
        <f aca="false">AND(B237&gt;=D237,B237&lt;=E237)</f>
        <v>1</v>
      </c>
    </row>
    <row r="238" customFormat="false" ht="12.75" hidden="false" customHeight="false" outlineLevel="0" collapsed="false">
      <c r="A238" s="3" t="s">
        <v>215</v>
      </c>
      <c r="B238" s="1" t="n">
        <v>8.178</v>
      </c>
      <c r="C238" s="11" t="s">
        <v>136</v>
      </c>
      <c r="D238" s="2" t="n">
        <v>8</v>
      </c>
      <c r="E238" s="2" t="n">
        <v>19</v>
      </c>
      <c r="F238" s="3" t="s">
        <v>125</v>
      </c>
      <c r="G238" s="7" t="n">
        <f aca="false">AND(B238&gt;=D238,B238&lt;=E238)</f>
        <v>1</v>
      </c>
    </row>
    <row r="239" customFormat="false" ht="12.75" hidden="false" customHeight="false" outlineLevel="0" collapsed="false">
      <c r="A239" s="3" t="s">
        <v>137</v>
      </c>
      <c r="B239" s="1" t="n">
        <v>0.246</v>
      </c>
      <c r="F239" s="3" t="s">
        <v>125</v>
      </c>
      <c r="G239" s="7"/>
    </row>
    <row r="240" customFormat="false" ht="12.75" hidden="false" customHeight="false" outlineLevel="0" collapsed="false">
      <c r="A240" s="3" t="s">
        <v>211</v>
      </c>
      <c r="B240" s="1" t="n">
        <v>0.422</v>
      </c>
      <c r="C240" s="1" t="s">
        <v>139</v>
      </c>
      <c r="E240" s="2" t="n">
        <v>4</v>
      </c>
      <c r="F240" s="3" t="s">
        <v>125</v>
      </c>
      <c r="G240" s="7" t="b">
        <f aca="false">AND(B240&gt;=D240,B240&lt;=E240)</f>
        <v>1</v>
      </c>
    </row>
    <row r="241" customFormat="false" ht="12.75" hidden="false" customHeight="false" outlineLevel="0" collapsed="false">
      <c r="A241" s="3" t="s">
        <v>140</v>
      </c>
      <c r="B241" s="1" t="s">
        <v>140</v>
      </c>
      <c r="F241" s="3" t="s">
        <v>125</v>
      </c>
      <c r="G241" s="7"/>
    </row>
    <row r="242" customFormat="false" ht="12.75" hidden="false" customHeight="false" outlineLevel="0" collapsed="false">
      <c r="A242" s="3" t="s">
        <v>216</v>
      </c>
      <c r="B242" s="1" t="n">
        <v>66</v>
      </c>
      <c r="C242" s="1" t="s">
        <v>217</v>
      </c>
      <c r="D242" s="6" t="n">
        <v>65</v>
      </c>
      <c r="E242" s="6" t="n">
        <v>70</v>
      </c>
      <c r="F242" s="3" t="s">
        <v>63</v>
      </c>
      <c r="G242" s="7" t="n">
        <f aca="false">AND(B242&gt;=D242,B242&lt;=E242)</f>
        <v>1</v>
      </c>
    </row>
    <row r="243" customFormat="false" ht="12.75" hidden="false" customHeight="false" outlineLevel="0" collapsed="false">
      <c r="A243" s="3" t="s">
        <v>218</v>
      </c>
      <c r="B243" s="1" t="n">
        <v>67</v>
      </c>
      <c r="C243" s="1" t="s">
        <v>217</v>
      </c>
      <c r="D243" s="6" t="n">
        <v>65</v>
      </c>
      <c r="E243" s="6" t="n">
        <v>70</v>
      </c>
      <c r="F243" s="3" t="s">
        <v>63</v>
      </c>
      <c r="G243" s="7" t="n">
        <f aca="false">AND(B243&gt;=D243,B243&lt;=E243)</f>
        <v>1</v>
      </c>
    </row>
    <row r="244" customFormat="false" ht="12.75" hidden="false" customHeight="false" outlineLevel="0" collapsed="false">
      <c r="A244" s="3" t="s">
        <v>219</v>
      </c>
      <c r="B244" s="1" t="n">
        <v>68</v>
      </c>
      <c r="C244" s="1" t="s">
        <v>217</v>
      </c>
      <c r="D244" s="6" t="n">
        <v>65</v>
      </c>
      <c r="E244" s="6" t="n">
        <v>70</v>
      </c>
      <c r="F244" s="3" t="s">
        <v>63</v>
      </c>
      <c r="G244" s="7" t="n">
        <f aca="false">AND(B244&gt;=D244,B244&lt;=E244)</f>
        <v>1</v>
      </c>
    </row>
    <row r="245" customFormat="false" ht="12.75" hidden="false" customHeight="false" outlineLevel="0" collapsed="false">
      <c r="A245" s="3" t="s">
        <v>220</v>
      </c>
      <c r="B245" s="1" t="n">
        <v>68</v>
      </c>
      <c r="C245" s="1" t="s">
        <v>217</v>
      </c>
      <c r="D245" s="6" t="n">
        <v>65</v>
      </c>
      <c r="E245" s="6" t="n">
        <v>70</v>
      </c>
      <c r="F245" s="3" t="s">
        <v>63</v>
      </c>
      <c r="G245" s="7" t="n">
        <f aca="false">AND(B245&gt;=D245,B245&lt;=E245)</f>
        <v>1</v>
      </c>
    </row>
    <row r="246" customFormat="false" ht="12.75" hidden="false" customHeight="false" outlineLevel="0" collapsed="false">
      <c r="A246" s="3" t="s">
        <v>221</v>
      </c>
      <c r="B246" s="1" t="n">
        <v>68</v>
      </c>
      <c r="C246" s="1" t="s">
        <v>217</v>
      </c>
      <c r="D246" s="6" t="n">
        <v>65</v>
      </c>
      <c r="E246" s="6" t="n">
        <v>70</v>
      </c>
      <c r="F246" s="3" t="s">
        <v>63</v>
      </c>
      <c r="G246" s="7" t="n">
        <f aca="false">AND(B246&gt;=D246,B246&lt;=E246)</f>
        <v>1</v>
      </c>
    </row>
    <row r="247" customFormat="false" ht="12.75" hidden="false" customHeight="false" outlineLevel="0" collapsed="false">
      <c r="A247" s="3" t="s">
        <v>222</v>
      </c>
      <c r="B247" s="1" t="n">
        <v>66</v>
      </c>
      <c r="C247" s="1" t="s">
        <v>217</v>
      </c>
      <c r="D247" s="6" t="n">
        <v>65</v>
      </c>
      <c r="E247" s="6" t="n">
        <v>70</v>
      </c>
      <c r="F247" s="3" t="s">
        <v>63</v>
      </c>
      <c r="G247" s="7" t="n">
        <f aca="false">AND(B247&gt;=D247,B247&lt;=E247)</f>
        <v>1</v>
      </c>
    </row>
    <row r="248" customFormat="false" ht="12.75" hidden="false" customHeight="false" outlineLevel="0" collapsed="false">
      <c r="A248" s="3" t="s">
        <v>223</v>
      </c>
      <c r="B248" s="1" t="n">
        <v>69</v>
      </c>
      <c r="C248" s="1" t="s">
        <v>217</v>
      </c>
      <c r="D248" s="6" t="n">
        <v>65</v>
      </c>
      <c r="E248" s="6" t="n">
        <v>70</v>
      </c>
      <c r="F248" s="3" t="s">
        <v>63</v>
      </c>
      <c r="G248" s="7" t="n">
        <f aca="false">AND(B248&gt;=D248,B248&lt;=E248)</f>
        <v>1</v>
      </c>
    </row>
    <row r="249" customFormat="false" ht="12.75" hidden="false" customHeight="false" outlineLevel="0" collapsed="false">
      <c r="A249" s="3" t="s">
        <v>224</v>
      </c>
      <c r="B249" s="1" t="n">
        <v>70</v>
      </c>
      <c r="C249" s="1" t="s">
        <v>217</v>
      </c>
      <c r="D249" s="6" t="n">
        <v>65</v>
      </c>
      <c r="E249" s="6" t="n">
        <v>70</v>
      </c>
      <c r="F249" s="3" t="s">
        <v>63</v>
      </c>
      <c r="G249" s="7" t="n">
        <f aca="false">AND(B249&gt;=D249,B249&lt;=E249)</f>
        <v>1</v>
      </c>
    </row>
    <row r="250" customFormat="false" ht="12.75" hidden="false" customHeight="false" outlineLevel="0" collapsed="false">
      <c r="A250" s="3" t="s">
        <v>225</v>
      </c>
      <c r="B250" s="1" t="n">
        <v>67</v>
      </c>
      <c r="C250" s="1" t="s">
        <v>217</v>
      </c>
      <c r="D250" s="6" t="n">
        <v>65</v>
      </c>
      <c r="E250" s="6" t="n">
        <v>70</v>
      </c>
      <c r="F250" s="3" t="s">
        <v>63</v>
      </c>
      <c r="G250" s="7" t="n">
        <f aca="false">AND(B250&gt;=D250,B250&lt;=E250)</f>
        <v>1</v>
      </c>
    </row>
    <row r="251" customFormat="false" ht="12.75" hidden="false" customHeight="false" outlineLevel="0" collapsed="false">
      <c r="A251" s="3" t="s">
        <v>223</v>
      </c>
      <c r="B251" s="1" t="n">
        <v>69</v>
      </c>
      <c r="C251" s="1" t="s">
        <v>217</v>
      </c>
      <c r="D251" s="6" t="n">
        <v>65</v>
      </c>
      <c r="E251" s="6" t="n">
        <v>70</v>
      </c>
      <c r="F251" s="3" t="s">
        <v>63</v>
      </c>
      <c r="G251" s="7" t="n">
        <f aca="false">AND(B251&gt;=D251,B251&lt;=E251)</f>
        <v>1</v>
      </c>
    </row>
    <row r="252" customFormat="false" ht="12.75" hidden="false" customHeight="false" outlineLevel="0" collapsed="false">
      <c r="A252" s="3" t="s">
        <v>221</v>
      </c>
      <c r="B252" s="1" t="n">
        <v>68</v>
      </c>
      <c r="C252" s="1" t="s">
        <v>217</v>
      </c>
      <c r="D252" s="6" t="n">
        <v>65</v>
      </c>
      <c r="E252" s="6" t="n">
        <v>70</v>
      </c>
      <c r="F252" s="3" t="s">
        <v>63</v>
      </c>
      <c r="G252" s="7" t="n">
        <f aca="false">AND(B252&gt;=D252,B252&lt;=E252)</f>
        <v>1</v>
      </c>
    </row>
    <row r="253" customFormat="false" ht="12.75" hidden="false" customHeight="false" outlineLevel="0" collapsed="false">
      <c r="A253" s="3" t="s">
        <v>225</v>
      </c>
      <c r="B253" s="1" t="n">
        <v>67</v>
      </c>
      <c r="C253" s="1" t="s">
        <v>217</v>
      </c>
      <c r="D253" s="6" t="n">
        <v>65</v>
      </c>
      <c r="E253" s="6" t="n">
        <v>70</v>
      </c>
      <c r="F253" s="3" t="s">
        <v>63</v>
      </c>
      <c r="G253" s="7" t="n">
        <f aca="false">AND(B253&gt;=D253,B253&lt;=E253)</f>
        <v>1</v>
      </c>
    </row>
    <row r="254" customFormat="false" ht="12.75" hidden="false" customHeight="false" outlineLevel="0" collapsed="false">
      <c r="A254" s="3" t="s">
        <v>226</v>
      </c>
      <c r="B254" s="1" t="n">
        <v>67</v>
      </c>
      <c r="C254" s="1" t="s">
        <v>217</v>
      </c>
      <c r="D254" s="6" t="n">
        <v>65</v>
      </c>
      <c r="E254" s="6" t="n">
        <v>70</v>
      </c>
      <c r="F254" s="3" t="s">
        <v>63</v>
      </c>
      <c r="G254" s="7" t="n">
        <f aca="false">AND(B254&gt;=D254,B254&lt;=E254)</f>
        <v>1</v>
      </c>
    </row>
    <row r="255" customFormat="false" ht="12.75" hidden="false" customHeight="false" outlineLevel="0" collapsed="false">
      <c r="A255" s="3" t="s">
        <v>218</v>
      </c>
      <c r="B255" s="1" t="n">
        <v>67</v>
      </c>
      <c r="C255" s="1" t="s">
        <v>217</v>
      </c>
      <c r="D255" s="6" t="n">
        <v>65</v>
      </c>
      <c r="E255" s="6" t="n">
        <v>70</v>
      </c>
      <c r="F255" s="3" t="s">
        <v>63</v>
      </c>
      <c r="G255" s="7" t="n">
        <f aca="false">AND(B255&gt;=D255,B255&lt;=E255)</f>
        <v>1</v>
      </c>
    </row>
    <row r="256" customFormat="false" ht="12.75" hidden="false" customHeight="false" outlineLevel="0" collapsed="false">
      <c r="A256" s="3" t="s">
        <v>219</v>
      </c>
      <c r="B256" s="1" t="n">
        <v>68</v>
      </c>
      <c r="C256" s="1" t="s">
        <v>217</v>
      </c>
      <c r="D256" s="6" t="n">
        <v>65</v>
      </c>
      <c r="E256" s="6" t="n">
        <v>70</v>
      </c>
      <c r="F256" s="3" t="s">
        <v>63</v>
      </c>
      <c r="G256" s="7" t="n">
        <f aca="false">AND(B256&gt;=D256,B256&lt;=E256)</f>
        <v>1</v>
      </c>
    </row>
  </sheetData>
  <conditionalFormatting sqref="G2:G256">
    <cfRule type="cellIs" priority="2" operator="equal" aboveAverage="0" equalAverage="0" bottom="0" percent="0" rank="0" text="" dxfId="0">
      <formula>0</formula>
    </cfRule>
  </conditionalFormatting>
  <conditionalFormatting sqref="G2:G256">
    <cfRule type="cellIs" priority="3" operator="equal" aboveAverage="0" equalAverage="0" bottom="0" percent="0" rank="0" text="" dxfId="1">
      <formula>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2" activeCellId="0" sqref="A22"/>
    </sheetView>
  </sheetViews>
  <sheetFormatPr defaultColWidth="12.67578125" defaultRowHeight="12.8" customHeight="true" zeroHeight="false" outlineLevelRow="0" outlineLevelCol="0"/>
  <cols>
    <col collapsed="false" customWidth="true" hidden="false" outlineLevel="0" max="1" min="1" style="0" width="43.93"/>
  </cols>
  <sheetData>
    <row r="1" customFormat="false" ht="13.8" hidden="false" customHeight="false" outlineLevel="0" collapsed="false">
      <c r="A1" s="4" t="s">
        <v>0</v>
      </c>
    </row>
    <row r="2" customFormat="false" ht="12.8" hidden="false" customHeight="false" outlineLevel="0" collapsed="false">
      <c r="A2" s="3" t="n">
        <v>190</v>
      </c>
    </row>
    <row r="3" customFormat="false" ht="12.8" hidden="false" customHeight="false" outlineLevel="0" collapsed="false">
      <c r="A3" s="3" t="n">
        <v>194.2</v>
      </c>
    </row>
    <row r="4" customFormat="false" ht="12.8" hidden="false" customHeight="false" outlineLevel="0" collapsed="false">
      <c r="A4" s="3" t="n">
        <v>192.7</v>
      </c>
    </row>
    <row r="5" customFormat="false" ht="12.8" hidden="false" customHeight="false" outlineLevel="0" collapsed="false">
      <c r="A5" s="3" t="n">
        <v>191.3</v>
      </c>
    </row>
    <row r="6" customFormat="false" ht="12.8" hidden="false" customHeight="false" outlineLevel="0" collapsed="false">
      <c r="A6" s="3" t="n">
        <v>191.5</v>
      </c>
    </row>
    <row r="7" customFormat="false" ht="12.8" hidden="false" customHeight="false" outlineLevel="0" collapsed="false">
      <c r="A7" s="3" t="n">
        <v>192.1</v>
      </c>
    </row>
    <row r="8" customFormat="false" ht="12.8" hidden="false" customHeight="false" outlineLevel="0" collapsed="false">
      <c r="A8" s="3" t="n">
        <v>193.4</v>
      </c>
    </row>
    <row r="9" customFormat="false" ht="12.8" hidden="false" customHeight="false" outlineLevel="0" collapsed="false">
      <c r="A9" s="3" t="n">
        <v>193.2</v>
      </c>
    </row>
    <row r="10" customFormat="false" ht="12.8" hidden="false" customHeight="false" outlineLevel="0" collapsed="false">
      <c r="A10" s="3" t="n">
        <v>193.8</v>
      </c>
    </row>
    <row r="11" customFormat="false" ht="12.8" hidden="false" customHeight="false" outlineLevel="0" collapsed="false">
      <c r="A11" s="3" t="n">
        <v>194.5</v>
      </c>
    </row>
    <row r="12" customFormat="false" ht="12.8" hidden="false" customHeight="false" outlineLevel="0" collapsed="false">
      <c r="A12" s="3" t="n">
        <v>195.1</v>
      </c>
    </row>
    <row r="13" customFormat="false" ht="12.8" hidden="false" customHeight="false" outlineLevel="0" collapsed="false">
      <c r="A13" s="3" t="n">
        <v>194.4</v>
      </c>
    </row>
    <row r="14" customFormat="false" ht="12.8" hidden="false" customHeight="false" outlineLevel="0" collapsed="false">
      <c r="A14" s="3" t="n">
        <v>192.6</v>
      </c>
    </row>
    <row r="15" customFormat="false" ht="12.8" hidden="false" customHeight="false" outlineLevel="0" collapsed="false">
      <c r="A15" s="3" t="n">
        <v>192.8</v>
      </c>
    </row>
    <row r="16" customFormat="false" ht="12.8" hidden="false" customHeight="false" outlineLevel="0" collapsed="false">
      <c r="A16" s="3" t="n">
        <v>191.9</v>
      </c>
    </row>
    <row r="17" customFormat="false" ht="12.8" hidden="false" customHeight="false" outlineLevel="0" collapsed="false">
      <c r="A17" s="3" t="n">
        <v>341</v>
      </c>
    </row>
    <row r="18" customFormat="false" ht="12.8" hidden="false" customHeight="false" outlineLevel="0" collapsed="false">
      <c r="A18" s="3" t="n">
        <v>347</v>
      </c>
    </row>
    <row r="19" customFormat="false" ht="12.8" hidden="false" customHeight="false" outlineLevel="0" collapsed="false">
      <c r="A19" s="3" t="n">
        <v>339</v>
      </c>
    </row>
    <row r="20" customFormat="false" ht="12.8" hidden="false" customHeight="false" outlineLevel="0" collapsed="false">
      <c r="A20" s="3" t="n">
        <v>351</v>
      </c>
    </row>
    <row r="21" customFormat="false" ht="12.8" hidden="false" customHeight="false" outlineLevel="0" collapsed="false">
      <c r="A21" s="3" t="n">
        <v>335</v>
      </c>
    </row>
    <row r="22" customFormat="false" ht="12.8" hidden="false" customHeight="false" outlineLevel="0" collapsed="false">
      <c r="A22" s="3" t="n">
        <v>502</v>
      </c>
    </row>
    <row r="23" customFormat="false" ht="12.8" hidden="false" customHeight="false" outlineLevel="0" collapsed="false">
      <c r="A23" s="3" t="s">
        <v>33</v>
      </c>
    </row>
    <row r="24" customFormat="false" ht="12.8" hidden="false" customHeight="false" outlineLevel="0" collapsed="false">
      <c r="A24" s="3" t="s">
        <v>34</v>
      </c>
    </row>
    <row r="25" customFormat="false" ht="12.8" hidden="false" customHeight="false" outlineLevel="0" collapsed="false">
      <c r="A25" s="3" t="s">
        <v>35</v>
      </c>
    </row>
    <row r="26" customFormat="false" ht="12.8" hidden="false" customHeight="false" outlineLevel="0" collapsed="false">
      <c r="A26" s="3" t="s">
        <v>36</v>
      </c>
    </row>
    <row r="27" customFormat="false" ht="12.8" hidden="false" customHeight="false" outlineLevel="0" collapsed="false">
      <c r="A27" s="3" t="s">
        <v>37</v>
      </c>
    </row>
    <row r="28" customFormat="false" ht="12.8" hidden="false" customHeight="false" outlineLevel="0" collapsed="false">
      <c r="A28" s="3" t="s">
        <v>39</v>
      </c>
    </row>
    <row r="29" customFormat="false" ht="12.8" hidden="false" customHeight="false" outlineLevel="0" collapsed="false">
      <c r="A29" s="3" t="s">
        <v>40</v>
      </c>
    </row>
    <row r="30" customFormat="false" ht="12.8" hidden="false" customHeight="false" outlineLevel="0" collapsed="false">
      <c r="A30" s="3" t="s">
        <v>41</v>
      </c>
    </row>
    <row r="31" customFormat="false" ht="12.8" hidden="false" customHeight="false" outlineLevel="0" collapsed="false">
      <c r="A31" s="3" t="s">
        <v>42</v>
      </c>
    </row>
    <row r="32" customFormat="false" ht="12.8" hidden="false" customHeight="false" outlineLevel="0" collapsed="false">
      <c r="A32" s="3" t="s">
        <v>43</v>
      </c>
    </row>
    <row r="33" customFormat="false" ht="12.8" hidden="false" customHeight="false" outlineLevel="0" collapsed="false">
      <c r="A33" s="3" t="s">
        <v>46</v>
      </c>
    </row>
    <row r="34" customFormat="false" ht="12.8" hidden="false" customHeight="false" outlineLevel="0" collapsed="false">
      <c r="A34" s="3" t="s">
        <v>47</v>
      </c>
    </row>
    <row r="35" customFormat="false" ht="12.8" hidden="false" customHeight="false" outlineLevel="0" collapsed="false">
      <c r="A35" s="3" t="s">
        <v>48</v>
      </c>
    </row>
    <row r="36" customFormat="false" ht="12.8" hidden="false" customHeight="false" outlineLevel="0" collapsed="false">
      <c r="A36" s="3" t="s">
        <v>49</v>
      </c>
    </row>
    <row r="37" customFormat="false" ht="12.8" hidden="false" customHeight="false" outlineLevel="0" collapsed="false">
      <c r="A37" s="3" t="s">
        <v>50</v>
      </c>
    </row>
    <row r="38" customFormat="false" ht="12.8" hidden="false" customHeight="false" outlineLevel="0" collapsed="false">
      <c r="A38" s="3" t="s">
        <v>52</v>
      </c>
    </row>
    <row r="39" customFormat="false" ht="12.8" hidden="false" customHeight="false" outlineLevel="0" collapsed="false">
      <c r="A39" s="3" t="s">
        <v>53</v>
      </c>
    </row>
    <row r="40" customFormat="false" ht="12.8" hidden="false" customHeight="false" outlineLevel="0" collapsed="false">
      <c r="A40" s="3" t="s">
        <v>54</v>
      </c>
    </row>
    <row r="41" customFormat="false" ht="12.8" hidden="false" customHeight="false" outlineLevel="0" collapsed="false">
      <c r="A41" s="3" t="s">
        <v>55</v>
      </c>
    </row>
    <row r="42" customFormat="false" ht="12.8" hidden="false" customHeight="false" outlineLevel="0" collapsed="false">
      <c r="A42" s="3" t="s">
        <v>56</v>
      </c>
    </row>
    <row r="43" customFormat="false" ht="12.8" hidden="false" customHeight="false" outlineLevel="0" collapsed="false">
      <c r="A43" s="3" t="s">
        <v>58</v>
      </c>
    </row>
    <row r="44" customFormat="false" ht="12.8" hidden="false" customHeight="false" outlineLevel="0" collapsed="false">
      <c r="A44" s="3" t="s">
        <v>59</v>
      </c>
    </row>
    <row r="45" customFormat="false" ht="12.8" hidden="false" customHeight="false" outlineLevel="0" collapsed="false">
      <c r="A45" s="3" t="s">
        <v>56</v>
      </c>
    </row>
    <row r="46" customFormat="false" ht="12.8" hidden="false" customHeight="false" outlineLevel="0" collapsed="false">
      <c r="A46" s="3" t="s">
        <v>60</v>
      </c>
    </row>
    <row r="47" customFormat="false" ht="12.8" hidden="false" customHeight="false" outlineLevel="0" collapsed="false">
      <c r="A47" s="3" t="s">
        <v>61</v>
      </c>
    </row>
    <row r="48" customFormat="false" ht="12.8" hidden="false" customHeight="false" outlineLevel="0" collapsed="false">
      <c r="A48" s="3" t="s">
        <v>64</v>
      </c>
    </row>
    <row r="49" customFormat="false" ht="12.8" hidden="false" customHeight="false" outlineLevel="0" collapsed="false">
      <c r="A49" s="3" t="s">
        <v>65</v>
      </c>
    </row>
    <row r="50" customFormat="false" ht="12.8" hidden="false" customHeight="false" outlineLevel="0" collapsed="false">
      <c r="A50" s="3" t="s">
        <v>66</v>
      </c>
    </row>
    <row r="51" customFormat="false" ht="12.8" hidden="false" customHeight="false" outlineLevel="0" collapsed="false">
      <c r="A51" s="3" t="s">
        <v>67</v>
      </c>
    </row>
    <row r="52" customFormat="false" ht="12.8" hidden="false" customHeight="false" outlineLevel="0" collapsed="false">
      <c r="A52" s="3" t="s">
        <v>68</v>
      </c>
    </row>
    <row r="53" customFormat="false" ht="12.8" hidden="false" customHeight="false" outlineLevel="0" collapsed="false">
      <c r="A53" s="3" t="s">
        <v>70</v>
      </c>
    </row>
    <row r="54" customFormat="false" ht="12.8" hidden="false" customHeight="false" outlineLevel="0" collapsed="false">
      <c r="A54" s="3" t="s">
        <v>71</v>
      </c>
    </row>
    <row r="55" customFormat="false" ht="12.8" hidden="false" customHeight="false" outlineLevel="0" collapsed="false">
      <c r="A55" s="3" t="s">
        <v>72</v>
      </c>
    </row>
    <row r="56" customFormat="false" ht="12.8" hidden="false" customHeight="false" outlineLevel="0" collapsed="false">
      <c r="A56" s="3" t="s">
        <v>73</v>
      </c>
    </row>
    <row r="57" customFormat="false" ht="12.8" hidden="false" customHeight="false" outlineLevel="0" collapsed="false">
      <c r="A57" s="3" t="s">
        <v>74</v>
      </c>
    </row>
    <row r="58" customFormat="false" ht="12.8" hidden="false" customHeight="false" outlineLevel="0" collapsed="false">
      <c r="A58" s="3" t="s">
        <v>76</v>
      </c>
    </row>
    <row r="59" customFormat="false" ht="12.8" hidden="false" customHeight="false" outlineLevel="0" collapsed="false">
      <c r="A59" s="3" t="s">
        <v>78</v>
      </c>
    </row>
    <row r="60" customFormat="false" ht="12.8" hidden="false" customHeight="false" outlineLevel="0" collapsed="false">
      <c r="A60" s="3" t="s">
        <v>80</v>
      </c>
    </row>
    <row r="61" customFormat="false" ht="12.8" hidden="false" customHeight="false" outlineLevel="0" collapsed="false">
      <c r="A61" s="3" t="s">
        <v>82</v>
      </c>
    </row>
    <row r="62" customFormat="false" ht="12.8" hidden="false" customHeight="false" outlineLevel="0" collapsed="false">
      <c r="A62" s="3" t="s">
        <v>84</v>
      </c>
    </row>
    <row r="63" customFormat="false" ht="12.8" hidden="false" customHeight="false" outlineLevel="0" collapsed="false">
      <c r="A63" s="3" t="s">
        <v>86</v>
      </c>
    </row>
    <row r="64" customFormat="false" ht="12.8" hidden="false" customHeight="false" outlineLevel="0" collapsed="false">
      <c r="A64" s="3" t="s">
        <v>88</v>
      </c>
    </row>
    <row r="65" customFormat="false" ht="12.8" hidden="false" customHeight="false" outlineLevel="0" collapsed="false">
      <c r="A65" s="3" t="s">
        <v>89</v>
      </c>
    </row>
    <row r="66" customFormat="false" ht="12.8" hidden="false" customHeight="false" outlineLevel="0" collapsed="false">
      <c r="A66" s="3" t="s">
        <v>90</v>
      </c>
    </row>
    <row r="67" customFormat="false" ht="12.8" hidden="false" customHeight="false" outlineLevel="0" collapsed="false">
      <c r="A67" s="3" t="s">
        <v>91</v>
      </c>
    </row>
    <row r="68" customFormat="false" ht="12.8" hidden="false" customHeight="false" outlineLevel="0" collapsed="false">
      <c r="A68" s="3" t="s">
        <v>74</v>
      </c>
    </row>
    <row r="69" customFormat="false" ht="12.8" hidden="false" customHeight="false" outlineLevel="0" collapsed="false">
      <c r="A69" s="3" t="s">
        <v>92</v>
      </c>
    </row>
    <row r="70" customFormat="false" ht="12.8" hidden="false" customHeight="false" outlineLevel="0" collapsed="false">
      <c r="A70" s="3" t="s">
        <v>93</v>
      </c>
    </row>
    <row r="71" customFormat="false" ht="12.8" hidden="false" customHeight="false" outlineLevel="0" collapsed="false">
      <c r="A71" s="3" t="s">
        <v>94</v>
      </c>
    </row>
    <row r="72" customFormat="false" ht="12.8" hidden="false" customHeight="false" outlineLevel="0" collapsed="false">
      <c r="A72" s="3" t="s">
        <v>95</v>
      </c>
    </row>
    <row r="73" customFormat="false" ht="12.8" hidden="false" customHeight="false" outlineLevel="0" collapsed="false">
      <c r="A73" s="3" t="s">
        <v>84</v>
      </c>
    </row>
    <row r="74" customFormat="false" ht="12.8" hidden="false" customHeight="false" outlineLevel="0" collapsed="false">
      <c r="A74" s="3" t="s">
        <v>96</v>
      </c>
    </row>
    <row r="75" customFormat="false" ht="12.8" hidden="false" customHeight="false" outlineLevel="0" collapsed="false">
      <c r="A75" s="3" t="s">
        <v>97</v>
      </c>
    </row>
    <row r="76" customFormat="false" ht="12.8" hidden="false" customHeight="false" outlineLevel="0" collapsed="false">
      <c r="A76" s="3" t="s">
        <v>89</v>
      </c>
    </row>
    <row r="77" customFormat="false" ht="12.8" hidden="false" customHeight="false" outlineLevel="0" collapsed="false">
      <c r="A77" s="3" t="s">
        <v>98</v>
      </c>
    </row>
    <row r="78" customFormat="false" ht="12.8" hidden="false" customHeight="false" outlineLevel="0" collapsed="false">
      <c r="A78" s="3" t="s">
        <v>91</v>
      </c>
    </row>
    <row r="79" customFormat="false" ht="12.8" hidden="false" customHeight="false" outlineLevel="0" collapsed="false">
      <c r="A79" s="3" t="s">
        <v>99</v>
      </c>
    </row>
    <row r="80" customFormat="false" ht="12.8" hidden="false" customHeight="false" outlineLevel="0" collapsed="false">
      <c r="A80" s="3" t="s">
        <v>92</v>
      </c>
    </row>
    <row r="81" customFormat="false" ht="12.8" hidden="false" customHeight="false" outlineLevel="0" collapsed="false">
      <c r="A81" s="3" t="s">
        <v>100</v>
      </c>
    </row>
    <row r="82" customFormat="false" ht="12.8" hidden="false" customHeight="false" outlineLevel="0" collapsed="false">
      <c r="A82" s="3" t="s">
        <v>101</v>
      </c>
    </row>
    <row r="83" customFormat="false" ht="12.8" hidden="false" customHeight="false" outlineLevel="0" collapsed="false">
      <c r="A83" s="3" t="s">
        <v>102</v>
      </c>
    </row>
    <row r="84" customFormat="false" ht="12.8" hidden="false" customHeight="false" outlineLevel="0" collapsed="false">
      <c r="A84" s="3" t="s">
        <v>103</v>
      </c>
    </row>
    <row r="85" customFormat="false" ht="12.8" hidden="false" customHeight="false" outlineLevel="0" collapsed="false">
      <c r="A85" s="3" t="s">
        <v>104</v>
      </c>
    </row>
    <row r="86" customFormat="false" ht="12.8" hidden="false" customHeight="false" outlineLevel="0" collapsed="false">
      <c r="A86" s="3" t="s">
        <v>105</v>
      </c>
    </row>
    <row r="87" customFormat="false" ht="12.8" hidden="false" customHeight="false" outlineLevel="0" collapsed="false">
      <c r="A87" s="3" t="s">
        <v>106</v>
      </c>
    </row>
    <row r="88" customFormat="false" ht="12.8" hidden="false" customHeight="false" outlineLevel="0" collapsed="false">
      <c r="A88" s="3" t="s">
        <v>107</v>
      </c>
    </row>
    <row r="89" customFormat="false" ht="12.8" hidden="false" customHeight="false" outlineLevel="0" collapsed="false">
      <c r="A89" s="3" t="s">
        <v>91</v>
      </c>
    </row>
    <row r="90" customFormat="false" ht="12.8" hidden="false" customHeight="false" outlineLevel="0" collapsed="false">
      <c r="A90" s="3" t="s">
        <v>108</v>
      </c>
    </row>
    <row r="91" customFormat="false" ht="12.8" hidden="false" customHeight="false" outlineLevel="0" collapsed="false">
      <c r="A91" s="3" t="s">
        <v>109</v>
      </c>
    </row>
    <row r="92" customFormat="false" ht="12.8" hidden="false" customHeight="false" outlineLevel="0" collapsed="false">
      <c r="A92" s="3" t="s">
        <v>110</v>
      </c>
    </row>
    <row r="93" customFormat="false" ht="12.8" hidden="false" customHeight="false" outlineLevel="0" collapsed="false">
      <c r="A93" s="3" t="s">
        <v>111</v>
      </c>
    </row>
    <row r="94" customFormat="false" ht="12.8" hidden="false" customHeight="false" outlineLevel="0" collapsed="false">
      <c r="A94" s="3" t="s">
        <v>112</v>
      </c>
    </row>
    <row r="95" customFormat="false" ht="12.8" hidden="false" customHeight="false" outlineLevel="0" collapsed="false">
      <c r="A95" s="3" t="s">
        <v>113</v>
      </c>
    </row>
    <row r="96" customFormat="false" ht="12.8" hidden="false" customHeight="false" outlineLevel="0" collapsed="false">
      <c r="A96" s="3" t="s">
        <v>104</v>
      </c>
    </row>
    <row r="97" customFormat="false" ht="12.8" hidden="false" customHeight="false" outlineLevel="0" collapsed="false">
      <c r="A97" s="3" t="s">
        <v>105</v>
      </c>
    </row>
    <row r="98" customFormat="false" ht="12.8" hidden="false" customHeight="false" outlineLevel="0" collapsed="false">
      <c r="A98" s="3" t="s">
        <v>106</v>
      </c>
    </row>
    <row r="99" customFormat="false" ht="12.8" hidden="false" customHeight="false" outlineLevel="0" collapsed="false">
      <c r="A99" s="3" t="s">
        <v>114</v>
      </c>
    </row>
    <row r="100" customFormat="false" ht="12.8" hidden="false" customHeight="false" outlineLevel="0" collapsed="false">
      <c r="A100" s="3" t="s">
        <v>91</v>
      </c>
    </row>
    <row r="101" customFormat="false" ht="12.8" hidden="false" customHeight="false" outlineLevel="0" collapsed="false">
      <c r="A101" s="3" t="s">
        <v>115</v>
      </c>
    </row>
    <row r="102" customFormat="false" ht="12.8" hidden="false" customHeight="false" outlineLevel="0" collapsed="false">
      <c r="A102" s="3" t="s">
        <v>116</v>
      </c>
    </row>
    <row r="103" customFormat="false" ht="12.8" hidden="false" customHeight="false" outlineLevel="0" collapsed="false">
      <c r="A103" s="3" t="s">
        <v>117</v>
      </c>
    </row>
    <row r="104" customFormat="false" ht="12.8" hidden="false" customHeight="false" outlineLevel="0" collapsed="false">
      <c r="A104" s="3" t="s">
        <v>118</v>
      </c>
    </row>
    <row r="105" customFormat="false" ht="12.8" hidden="false" customHeight="false" outlineLevel="0" collapsed="false">
      <c r="A105" s="3" t="s">
        <v>119</v>
      </c>
    </row>
    <row r="106" customFormat="false" ht="12.8" hidden="false" customHeight="false" outlineLevel="0" collapsed="false">
      <c r="A106" s="3" t="s">
        <v>120</v>
      </c>
    </row>
    <row r="107" customFormat="false" ht="12.8" hidden="false" customHeight="false" outlineLevel="0" collapsed="false">
      <c r="A107" s="3" t="s">
        <v>121</v>
      </c>
    </row>
    <row r="108" customFormat="false" ht="12.8" hidden="false" customHeight="false" outlineLevel="0" collapsed="false">
      <c r="A108" s="3" t="s">
        <v>105</v>
      </c>
    </row>
    <row r="109" customFormat="false" ht="12.8" hidden="false" customHeight="false" outlineLevel="0" collapsed="false">
      <c r="A109" s="3" t="s">
        <v>122</v>
      </c>
    </row>
    <row r="110" customFormat="false" ht="12.8" hidden="false" customHeight="false" outlineLevel="0" collapsed="false">
      <c r="A110" s="3" t="s">
        <v>123</v>
      </c>
    </row>
    <row r="111" customFormat="false" ht="12.8" hidden="false" customHeight="false" outlineLevel="0" collapsed="false">
      <c r="A111" s="3" t="s">
        <v>91</v>
      </c>
    </row>
    <row r="112" customFormat="false" ht="12.8" hidden="false" customHeight="false" outlineLevel="0" collapsed="false">
      <c r="A112" s="3" t="s">
        <v>124</v>
      </c>
    </row>
    <row r="113" customFormat="false" ht="12.8" hidden="false" customHeight="false" outlineLevel="0" collapsed="false">
      <c r="A113" s="3" t="s">
        <v>126</v>
      </c>
    </row>
    <row r="114" customFormat="false" ht="12.8" hidden="false" customHeight="false" outlineLevel="0" collapsed="false">
      <c r="A114" s="3" t="s">
        <v>128</v>
      </c>
    </row>
    <row r="115" customFormat="false" ht="12.8" hidden="false" customHeight="false" outlineLevel="0" collapsed="false">
      <c r="A115" s="3" t="s">
        <v>130</v>
      </c>
    </row>
    <row r="116" customFormat="false" ht="12.8" hidden="false" customHeight="false" outlineLevel="0" collapsed="false">
      <c r="A116" s="3" t="s">
        <v>132</v>
      </c>
    </row>
    <row r="117" customFormat="false" ht="12.8" hidden="false" customHeight="false" outlineLevel="0" collapsed="false">
      <c r="A117" s="3" t="s">
        <v>133</v>
      </c>
    </row>
    <row r="118" customFormat="false" ht="12.8" hidden="false" customHeight="false" outlineLevel="0" collapsed="false">
      <c r="A118" s="3" t="s">
        <v>135</v>
      </c>
    </row>
    <row r="119" customFormat="false" ht="12.8" hidden="false" customHeight="false" outlineLevel="0" collapsed="false">
      <c r="A119" s="3" t="s">
        <v>137</v>
      </c>
    </row>
    <row r="120" customFormat="false" ht="12.8" hidden="false" customHeight="false" outlineLevel="0" collapsed="false">
      <c r="A120" s="3" t="s">
        <v>138</v>
      </c>
    </row>
    <row r="121" customFormat="false" ht="12.8" hidden="false" customHeight="false" outlineLevel="0" collapsed="false">
      <c r="A121" s="3" t="s">
        <v>140</v>
      </c>
    </row>
    <row r="122" customFormat="false" ht="12.8" hidden="false" customHeight="false" outlineLevel="0" collapsed="false">
      <c r="A122" s="3" t="s">
        <v>124</v>
      </c>
    </row>
    <row r="123" customFormat="false" ht="12.8" hidden="false" customHeight="false" outlineLevel="0" collapsed="false">
      <c r="A123" s="3" t="s">
        <v>141</v>
      </c>
    </row>
    <row r="124" customFormat="false" ht="12.8" hidden="false" customHeight="false" outlineLevel="0" collapsed="false">
      <c r="A124" s="3" t="s">
        <v>142</v>
      </c>
    </row>
    <row r="125" customFormat="false" ht="12.8" hidden="false" customHeight="false" outlineLevel="0" collapsed="false">
      <c r="A125" s="3" t="s">
        <v>143</v>
      </c>
    </row>
    <row r="126" customFormat="false" ht="12.8" hidden="false" customHeight="false" outlineLevel="0" collapsed="false">
      <c r="A126" s="3" t="s">
        <v>132</v>
      </c>
    </row>
    <row r="127" customFormat="false" ht="12.8" hidden="false" customHeight="false" outlineLevel="0" collapsed="false">
      <c r="A127" s="3" t="s">
        <v>144</v>
      </c>
    </row>
    <row r="128" customFormat="false" ht="12.8" hidden="false" customHeight="false" outlineLevel="0" collapsed="false">
      <c r="A128" s="3" t="s">
        <v>145</v>
      </c>
    </row>
    <row r="129" customFormat="false" ht="12.8" hidden="false" customHeight="false" outlineLevel="0" collapsed="false">
      <c r="A129" s="3" t="s">
        <v>137</v>
      </c>
    </row>
    <row r="130" customFormat="false" ht="12.8" hidden="false" customHeight="false" outlineLevel="0" collapsed="false">
      <c r="A130" s="3" t="s">
        <v>146</v>
      </c>
    </row>
    <row r="131" customFormat="false" ht="12.8" hidden="false" customHeight="false" outlineLevel="0" collapsed="false">
      <c r="A131" s="3" t="s">
        <v>140</v>
      </c>
    </row>
    <row r="132" customFormat="false" ht="12.8" hidden="false" customHeight="false" outlineLevel="0" collapsed="false">
      <c r="A132" s="3" t="s">
        <v>124</v>
      </c>
    </row>
    <row r="133" customFormat="false" ht="12.8" hidden="false" customHeight="false" outlineLevel="0" collapsed="false">
      <c r="A133" s="3" t="s">
        <v>147</v>
      </c>
    </row>
    <row r="134" customFormat="false" ht="12.8" hidden="false" customHeight="false" outlineLevel="0" collapsed="false">
      <c r="A134" s="3" t="s">
        <v>148</v>
      </c>
    </row>
    <row r="135" customFormat="false" ht="12.8" hidden="false" customHeight="false" outlineLevel="0" collapsed="false">
      <c r="A135" s="3" t="s">
        <v>149</v>
      </c>
    </row>
    <row r="136" customFormat="false" ht="12.8" hidden="false" customHeight="false" outlineLevel="0" collapsed="false">
      <c r="A136" s="3" t="s">
        <v>150</v>
      </c>
    </row>
    <row r="137" customFormat="false" ht="12.8" hidden="false" customHeight="false" outlineLevel="0" collapsed="false">
      <c r="A137" s="3" t="s">
        <v>151</v>
      </c>
    </row>
    <row r="138" customFormat="false" ht="12.8" hidden="false" customHeight="false" outlineLevel="0" collapsed="false">
      <c r="A138" s="3" t="s">
        <v>152</v>
      </c>
    </row>
    <row r="139" customFormat="false" ht="12.8" hidden="false" customHeight="false" outlineLevel="0" collapsed="false">
      <c r="A139" s="3" t="s">
        <v>153</v>
      </c>
    </row>
    <row r="140" customFormat="false" ht="12.8" hidden="false" customHeight="false" outlineLevel="0" collapsed="false">
      <c r="A140" s="3" t="s">
        <v>154</v>
      </c>
    </row>
    <row r="141" customFormat="false" ht="12.8" hidden="false" customHeight="false" outlineLevel="0" collapsed="false">
      <c r="A141" s="3" t="s">
        <v>140</v>
      </c>
    </row>
    <row r="142" customFormat="false" ht="12.8" hidden="false" customHeight="false" outlineLevel="0" collapsed="false">
      <c r="A142" s="3" t="s">
        <v>124</v>
      </c>
    </row>
    <row r="143" customFormat="false" ht="12.8" hidden="false" customHeight="false" outlineLevel="0" collapsed="false">
      <c r="A143" s="3" t="s">
        <v>155</v>
      </c>
    </row>
    <row r="144" customFormat="false" ht="12.8" hidden="false" customHeight="false" outlineLevel="0" collapsed="false">
      <c r="A144" s="3" t="s">
        <v>156</v>
      </c>
    </row>
    <row r="145" customFormat="false" ht="12.8" hidden="false" customHeight="false" outlineLevel="0" collapsed="false">
      <c r="A145" s="3" t="s">
        <v>157</v>
      </c>
    </row>
    <row r="146" customFormat="false" ht="12.8" hidden="false" customHeight="false" outlineLevel="0" collapsed="false">
      <c r="A146" s="3" t="s">
        <v>158</v>
      </c>
    </row>
    <row r="147" customFormat="false" ht="12.8" hidden="false" customHeight="false" outlineLevel="0" collapsed="false">
      <c r="A147" s="3" t="s">
        <v>159</v>
      </c>
    </row>
    <row r="148" customFormat="false" ht="12.8" hidden="false" customHeight="false" outlineLevel="0" collapsed="false">
      <c r="A148" s="3" t="s">
        <v>160</v>
      </c>
    </row>
    <row r="149" customFormat="false" ht="12.8" hidden="false" customHeight="false" outlineLevel="0" collapsed="false">
      <c r="A149" s="3" t="s">
        <v>161</v>
      </c>
    </row>
    <row r="150" customFormat="false" ht="12.8" hidden="false" customHeight="false" outlineLevel="0" collapsed="false">
      <c r="A150" s="3" t="s">
        <v>162</v>
      </c>
    </row>
    <row r="151" customFormat="false" ht="12.8" hidden="false" customHeight="false" outlineLevel="0" collapsed="false">
      <c r="A151" s="3" t="s">
        <v>140</v>
      </c>
    </row>
    <row r="152" customFormat="false" ht="12.8" hidden="false" customHeight="false" outlineLevel="0" collapsed="false">
      <c r="A152" s="3" t="s">
        <v>163</v>
      </c>
    </row>
    <row r="153" customFormat="false" ht="12.8" hidden="false" customHeight="false" outlineLevel="0" collapsed="false">
      <c r="A153" s="3" t="s">
        <v>164</v>
      </c>
    </row>
    <row r="154" customFormat="false" ht="12.8" hidden="false" customHeight="false" outlineLevel="0" collapsed="false">
      <c r="A154" s="3" t="s">
        <v>165</v>
      </c>
    </row>
    <row r="155" customFormat="false" ht="12.8" hidden="false" customHeight="false" outlineLevel="0" collapsed="false">
      <c r="A155" s="3" t="s">
        <v>166</v>
      </c>
    </row>
    <row r="156" customFormat="false" ht="12.8" hidden="false" customHeight="false" outlineLevel="0" collapsed="false">
      <c r="A156" s="3" t="s">
        <v>167</v>
      </c>
    </row>
    <row r="157" customFormat="false" ht="12.8" hidden="false" customHeight="false" outlineLevel="0" collapsed="false">
      <c r="A157" s="3" t="s">
        <v>168</v>
      </c>
    </row>
    <row r="158" customFormat="false" ht="12.8" hidden="false" customHeight="false" outlineLevel="0" collapsed="false">
      <c r="A158" s="3" t="s">
        <v>169</v>
      </c>
    </row>
    <row r="159" customFormat="false" ht="12.8" hidden="false" customHeight="false" outlineLevel="0" collapsed="false">
      <c r="A159" s="3" t="s">
        <v>170</v>
      </c>
    </row>
    <row r="160" customFormat="false" ht="12.8" hidden="false" customHeight="false" outlineLevel="0" collapsed="false">
      <c r="A160" s="3" t="s">
        <v>171</v>
      </c>
    </row>
    <row r="161" customFormat="false" ht="12.8" hidden="false" customHeight="false" outlineLevel="0" collapsed="false">
      <c r="A161" s="3" t="s">
        <v>140</v>
      </c>
    </row>
    <row r="162" customFormat="false" ht="12.8" hidden="false" customHeight="false" outlineLevel="0" collapsed="false">
      <c r="A162" s="3" t="s">
        <v>172</v>
      </c>
    </row>
    <row r="163" customFormat="false" ht="12.8" hidden="false" customHeight="false" outlineLevel="0" collapsed="false">
      <c r="A163" s="3" t="s">
        <v>173</v>
      </c>
    </row>
    <row r="164" customFormat="false" ht="12.8" hidden="false" customHeight="false" outlineLevel="0" collapsed="false">
      <c r="A164" s="3" t="s">
        <v>174</v>
      </c>
    </row>
    <row r="165" customFormat="false" ht="12.8" hidden="false" customHeight="false" outlineLevel="0" collapsed="false">
      <c r="A165" s="3" t="s">
        <v>157</v>
      </c>
    </row>
    <row r="166" customFormat="false" ht="12.8" hidden="false" customHeight="false" outlineLevel="0" collapsed="false">
      <c r="A166" s="3" t="s">
        <v>175</v>
      </c>
    </row>
    <row r="167" customFormat="false" ht="12.8" hidden="false" customHeight="false" outlineLevel="0" collapsed="false">
      <c r="A167" s="3" t="s">
        <v>176</v>
      </c>
    </row>
    <row r="168" customFormat="false" ht="12.8" hidden="false" customHeight="false" outlineLevel="0" collapsed="false">
      <c r="A168" s="3" t="s">
        <v>177</v>
      </c>
    </row>
    <row r="169" customFormat="false" ht="12.8" hidden="false" customHeight="false" outlineLevel="0" collapsed="false">
      <c r="A169" s="3" t="s">
        <v>178</v>
      </c>
    </row>
    <row r="170" customFormat="false" ht="12.8" hidden="false" customHeight="false" outlineLevel="0" collapsed="false">
      <c r="A170" s="3" t="s">
        <v>171</v>
      </c>
    </row>
    <row r="171" customFormat="false" ht="12.8" hidden="false" customHeight="false" outlineLevel="0" collapsed="false">
      <c r="A171" s="3" t="s">
        <v>140</v>
      </c>
    </row>
    <row r="172" customFormat="false" ht="12.8" hidden="false" customHeight="false" outlineLevel="0" collapsed="false">
      <c r="A172" s="3" t="s">
        <v>163</v>
      </c>
    </row>
    <row r="173" customFormat="false" ht="12.8" hidden="false" customHeight="false" outlineLevel="0" collapsed="false">
      <c r="A173" s="3" t="s">
        <v>179</v>
      </c>
    </row>
    <row r="174" customFormat="false" ht="12.8" hidden="false" customHeight="false" outlineLevel="0" collapsed="false">
      <c r="A174" s="3" t="s">
        <v>180</v>
      </c>
    </row>
    <row r="175" customFormat="false" ht="12.8" hidden="false" customHeight="false" outlineLevel="0" collapsed="false">
      <c r="A175" s="3" t="s">
        <v>181</v>
      </c>
    </row>
    <row r="176" customFormat="false" ht="12.8" hidden="false" customHeight="false" outlineLevel="0" collapsed="false">
      <c r="A176" s="3" t="s">
        <v>182</v>
      </c>
    </row>
    <row r="177" customFormat="false" ht="12.8" hidden="false" customHeight="false" outlineLevel="0" collapsed="false">
      <c r="A177" s="3" t="s">
        <v>183</v>
      </c>
    </row>
    <row r="178" customFormat="false" ht="12.8" hidden="false" customHeight="false" outlineLevel="0" collapsed="false">
      <c r="A178" s="3" t="s">
        <v>184</v>
      </c>
    </row>
    <row r="179" customFormat="false" ht="12.8" hidden="false" customHeight="false" outlineLevel="0" collapsed="false">
      <c r="A179" s="3" t="s">
        <v>185</v>
      </c>
    </row>
    <row r="180" customFormat="false" ht="12.8" hidden="false" customHeight="false" outlineLevel="0" collapsed="false">
      <c r="A180" s="3" t="s">
        <v>186</v>
      </c>
    </row>
    <row r="181" customFormat="false" ht="12.8" hidden="false" customHeight="false" outlineLevel="0" collapsed="false">
      <c r="A181" s="3" t="s">
        <v>140</v>
      </c>
    </row>
    <row r="182" customFormat="false" ht="12.8" hidden="false" customHeight="false" outlineLevel="0" collapsed="false">
      <c r="A182" s="3" t="s">
        <v>163</v>
      </c>
    </row>
    <row r="183" customFormat="false" ht="12.8" hidden="false" customHeight="false" outlineLevel="0" collapsed="false">
      <c r="A183" s="3" t="s">
        <v>126</v>
      </c>
    </row>
    <row r="184" customFormat="false" ht="12.8" hidden="false" customHeight="false" outlineLevel="0" collapsed="false">
      <c r="A184" s="3" t="s">
        <v>187</v>
      </c>
    </row>
    <row r="185" customFormat="false" ht="12.8" hidden="false" customHeight="false" outlineLevel="0" collapsed="false">
      <c r="A185" s="3" t="s">
        <v>188</v>
      </c>
    </row>
    <row r="186" customFormat="false" ht="12.8" hidden="false" customHeight="false" outlineLevel="0" collapsed="false">
      <c r="A186" s="3" t="s">
        <v>182</v>
      </c>
    </row>
    <row r="187" customFormat="false" ht="12.8" hidden="false" customHeight="false" outlineLevel="0" collapsed="false">
      <c r="A187" s="3" t="s">
        <v>189</v>
      </c>
    </row>
    <row r="188" customFormat="false" ht="12.8" hidden="false" customHeight="false" outlineLevel="0" collapsed="false">
      <c r="A188" s="3" t="s">
        <v>190</v>
      </c>
    </row>
    <row r="189" customFormat="false" ht="12.8" hidden="false" customHeight="false" outlineLevel="0" collapsed="false">
      <c r="A189" s="3" t="s">
        <v>170</v>
      </c>
    </row>
    <row r="190" customFormat="false" ht="12.8" hidden="false" customHeight="false" outlineLevel="0" collapsed="false">
      <c r="A190" s="3" t="s">
        <v>191</v>
      </c>
    </row>
    <row r="191" customFormat="false" ht="12.8" hidden="false" customHeight="false" outlineLevel="0" collapsed="false">
      <c r="A191" s="3" t="s">
        <v>140</v>
      </c>
    </row>
    <row r="192" customFormat="false" ht="12.8" hidden="false" customHeight="false" outlineLevel="0" collapsed="false">
      <c r="A192" s="3" t="s">
        <v>163</v>
      </c>
    </row>
    <row r="193" customFormat="false" ht="12.8" hidden="false" customHeight="false" outlineLevel="0" collapsed="false">
      <c r="A193" s="3" t="s">
        <v>192</v>
      </c>
    </row>
    <row r="194" customFormat="false" ht="12.8" hidden="false" customHeight="false" outlineLevel="0" collapsed="false">
      <c r="A194" s="3" t="s">
        <v>193</v>
      </c>
    </row>
    <row r="195" customFormat="false" ht="12.8" hidden="false" customHeight="false" outlineLevel="0" collapsed="false">
      <c r="A195" s="3" t="s">
        <v>194</v>
      </c>
    </row>
    <row r="196" customFormat="false" ht="12.8" hidden="false" customHeight="false" outlineLevel="0" collapsed="false">
      <c r="A196" s="3" t="s">
        <v>195</v>
      </c>
    </row>
    <row r="197" customFormat="false" ht="12.8" hidden="false" customHeight="false" outlineLevel="0" collapsed="false">
      <c r="A197" s="3" t="s">
        <v>196</v>
      </c>
    </row>
    <row r="198" customFormat="false" ht="12.8" hidden="false" customHeight="false" outlineLevel="0" collapsed="false">
      <c r="A198" s="3" t="s">
        <v>197</v>
      </c>
    </row>
    <row r="199" customFormat="false" ht="12.8" hidden="false" customHeight="false" outlineLevel="0" collapsed="false">
      <c r="A199" s="3" t="s">
        <v>198</v>
      </c>
    </row>
    <row r="200" customFormat="false" ht="12.8" hidden="false" customHeight="false" outlineLevel="0" collapsed="false">
      <c r="A200" s="3" t="s">
        <v>199</v>
      </c>
    </row>
    <row r="201" customFormat="false" ht="12.8" hidden="false" customHeight="false" outlineLevel="0" collapsed="false">
      <c r="A201" s="3" t="s">
        <v>140</v>
      </c>
    </row>
    <row r="202" customFormat="false" ht="12.8" hidden="false" customHeight="false" outlineLevel="0" collapsed="false">
      <c r="A202" s="3" t="s">
        <v>163</v>
      </c>
    </row>
    <row r="203" customFormat="false" ht="12.8" hidden="false" customHeight="false" outlineLevel="0" collapsed="false">
      <c r="A203" s="3" t="s">
        <v>200</v>
      </c>
    </row>
    <row r="204" customFormat="false" ht="12.8" hidden="false" customHeight="false" outlineLevel="0" collapsed="false">
      <c r="A204" s="3" t="s">
        <v>201</v>
      </c>
    </row>
    <row r="205" customFormat="false" ht="12.8" hidden="false" customHeight="false" outlineLevel="0" collapsed="false">
      <c r="A205" s="3" t="s">
        <v>157</v>
      </c>
    </row>
    <row r="206" customFormat="false" ht="12.8" hidden="false" customHeight="false" outlineLevel="0" collapsed="false">
      <c r="A206" s="3" t="s">
        <v>167</v>
      </c>
    </row>
    <row r="207" customFormat="false" ht="12.8" hidden="false" customHeight="false" outlineLevel="0" collapsed="false">
      <c r="A207" s="3" t="s">
        <v>202</v>
      </c>
    </row>
    <row r="208" customFormat="false" ht="12.8" hidden="false" customHeight="false" outlineLevel="0" collapsed="false">
      <c r="A208" s="3" t="s">
        <v>203</v>
      </c>
    </row>
    <row r="209" customFormat="false" ht="12.8" hidden="false" customHeight="false" outlineLevel="0" collapsed="false">
      <c r="A209" s="3" t="s">
        <v>185</v>
      </c>
    </row>
    <row r="210" customFormat="false" ht="12.8" hidden="false" customHeight="false" outlineLevel="0" collapsed="false">
      <c r="A210" s="3" t="s">
        <v>204</v>
      </c>
    </row>
    <row r="211" customFormat="false" ht="12.8" hidden="false" customHeight="false" outlineLevel="0" collapsed="false">
      <c r="A211" s="3" t="s">
        <v>140</v>
      </c>
    </row>
    <row r="212" customFormat="false" ht="12.8" hidden="false" customHeight="false" outlineLevel="0" collapsed="false">
      <c r="A212" s="3" t="s">
        <v>172</v>
      </c>
    </row>
    <row r="213" customFormat="false" ht="12.8" hidden="false" customHeight="false" outlineLevel="0" collapsed="false">
      <c r="A213" s="3" t="s">
        <v>205</v>
      </c>
    </row>
    <row r="214" customFormat="false" ht="12.8" hidden="false" customHeight="false" outlineLevel="0" collapsed="false">
      <c r="A214" s="3" t="s">
        <v>201</v>
      </c>
    </row>
    <row r="215" customFormat="false" ht="12.8" hidden="false" customHeight="false" outlineLevel="0" collapsed="false">
      <c r="A215" s="3" t="s">
        <v>149</v>
      </c>
    </row>
    <row r="216" customFormat="false" ht="12.8" hidden="false" customHeight="false" outlineLevel="0" collapsed="false">
      <c r="A216" s="3" t="s">
        <v>175</v>
      </c>
    </row>
    <row r="217" customFormat="false" ht="12.8" hidden="false" customHeight="false" outlineLevel="0" collapsed="false">
      <c r="A217" s="3" t="s">
        <v>168</v>
      </c>
    </row>
    <row r="218" customFormat="false" ht="12.8" hidden="false" customHeight="false" outlineLevel="0" collapsed="false">
      <c r="A218" s="3" t="s">
        <v>206</v>
      </c>
    </row>
    <row r="219" customFormat="false" ht="12.8" hidden="false" customHeight="false" outlineLevel="0" collapsed="false">
      <c r="A219" s="3" t="s">
        <v>137</v>
      </c>
    </row>
    <row r="220" customFormat="false" ht="12.8" hidden="false" customHeight="false" outlineLevel="0" collapsed="false">
      <c r="A220" s="3" t="s">
        <v>204</v>
      </c>
    </row>
    <row r="221" customFormat="false" ht="12.8" hidden="false" customHeight="false" outlineLevel="0" collapsed="false">
      <c r="A221" s="3" t="s">
        <v>140</v>
      </c>
    </row>
    <row r="222" customFormat="false" ht="12.8" hidden="false" customHeight="false" outlineLevel="0" collapsed="false">
      <c r="A222" s="3" t="s">
        <v>172</v>
      </c>
    </row>
    <row r="223" customFormat="false" ht="12.8" hidden="false" customHeight="false" outlineLevel="0" collapsed="false">
      <c r="A223" s="3" t="s">
        <v>207</v>
      </c>
    </row>
    <row r="224" customFormat="false" ht="12.8" hidden="false" customHeight="false" outlineLevel="0" collapsed="false">
      <c r="A224" s="3" t="s">
        <v>180</v>
      </c>
    </row>
    <row r="225" customFormat="false" ht="12.8" hidden="false" customHeight="false" outlineLevel="0" collapsed="false">
      <c r="A225" s="3" t="s">
        <v>166</v>
      </c>
    </row>
    <row r="226" customFormat="false" ht="12.8" hidden="false" customHeight="false" outlineLevel="0" collapsed="false">
      <c r="A226" s="3" t="s">
        <v>167</v>
      </c>
    </row>
    <row r="227" customFormat="false" ht="12.8" hidden="false" customHeight="false" outlineLevel="0" collapsed="false">
      <c r="A227" s="3" t="s">
        <v>208</v>
      </c>
    </row>
    <row r="228" customFormat="false" ht="12.8" hidden="false" customHeight="false" outlineLevel="0" collapsed="false">
      <c r="A228" s="3" t="s">
        <v>209</v>
      </c>
    </row>
    <row r="229" customFormat="false" ht="12.8" hidden="false" customHeight="false" outlineLevel="0" collapsed="false">
      <c r="A229" s="3" t="s">
        <v>210</v>
      </c>
    </row>
    <row r="230" customFormat="false" ht="12.8" hidden="false" customHeight="false" outlineLevel="0" collapsed="false">
      <c r="A230" s="3" t="s">
        <v>211</v>
      </c>
    </row>
    <row r="231" customFormat="false" ht="12.8" hidden="false" customHeight="false" outlineLevel="0" collapsed="false">
      <c r="A231" s="3" t="s">
        <v>140</v>
      </c>
    </row>
    <row r="232" customFormat="false" ht="12.8" hidden="false" customHeight="false" outlineLevel="0" collapsed="false">
      <c r="A232" s="3" t="s">
        <v>172</v>
      </c>
    </row>
    <row r="233" customFormat="false" ht="12.8" hidden="false" customHeight="false" outlineLevel="0" collapsed="false">
      <c r="A233" s="3" t="s">
        <v>212</v>
      </c>
    </row>
    <row r="234" customFormat="false" ht="12.8" hidden="false" customHeight="false" outlineLevel="0" collapsed="false">
      <c r="A234" s="3" t="s">
        <v>213</v>
      </c>
    </row>
    <row r="235" customFormat="false" ht="12.8" hidden="false" customHeight="false" outlineLevel="0" collapsed="false">
      <c r="A235" s="3" t="s">
        <v>149</v>
      </c>
    </row>
    <row r="236" customFormat="false" ht="12.8" hidden="false" customHeight="false" outlineLevel="0" collapsed="false">
      <c r="A236" s="3" t="s">
        <v>167</v>
      </c>
    </row>
    <row r="237" customFormat="false" ht="12.8" hidden="false" customHeight="false" outlineLevel="0" collapsed="false">
      <c r="A237" s="3" t="s">
        <v>214</v>
      </c>
    </row>
    <row r="238" customFormat="false" ht="12.8" hidden="false" customHeight="false" outlineLevel="0" collapsed="false">
      <c r="A238" s="3" t="s">
        <v>215</v>
      </c>
    </row>
    <row r="239" customFormat="false" ht="12.8" hidden="false" customHeight="false" outlineLevel="0" collapsed="false">
      <c r="A239" s="3" t="s">
        <v>137</v>
      </c>
    </row>
    <row r="240" customFormat="false" ht="12.8" hidden="false" customHeight="false" outlineLevel="0" collapsed="false">
      <c r="A240" s="3" t="s">
        <v>211</v>
      </c>
    </row>
    <row r="241" customFormat="false" ht="12.8" hidden="false" customHeight="false" outlineLevel="0" collapsed="false">
      <c r="A241" s="3" t="s">
        <v>140</v>
      </c>
    </row>
    <row r="242" customFormat="false" ht="12.8" hidden="false" customHeight="false" outlineLevel="0" collapsed="false">
      <c r="A242" s="3" t="s">
        <v>216</v>
      </c>
    </row>
    <row r="243" customFormat="false" ht="12.8" hidden="false" customHeight="false" outlineLevel="0" collapsed="false">
      <c r="A243" s="3" t="s">
        <v>218</v>
      </c>
    </row>
    <row r="244" customFormat="false" ht="12.8" hidden="false" customHeight="false" outlineLevel="0" collapsed="false">
      <c r="A244" s="3" t="s">
        <v>219</v>
      </c>
    </row>
    <row r="245" customFormat="false" ht="12.8" hidden="false" customHeight="false" outlineLevel="0" collapsed="false">
      <c r="A245" s="3" t="s">
        <v>220</v>
      </c>
    </row>
    <row r="246" customFormat="false" ht="12.8" hidden="false" customHeight="false" outlineLevel="0" collapsed="false">
      <c r="A246" s="3" t="s">
        <v>221</v>
      </c>
    </row>
    <row r="247" customFormat="false" ht="12.8" hidden="false" customHeight="false" outlineLevel="0" collapsed="false">
      <c r="A247" s="3" t="s">
        <v>222</v>
      </c>
    </row>
    <row r="248" customFormat="false" ht="12.8" hidden="false" customHeight="false" outlineLevel="0" collapsed="false">
      <c r="A248" s="3" t="s">
        <v>223</v>
      </c>
    </row>
    <row r="249" customFormat="false" ht="12.8" hidden="false" customHeight="false" outlineLevel="0" collapsed="false">
      <c r="A249" s="3" t="s">
        <v>224</v>
      </c>
    </row>
    <row r="250" customFormat="false" ht="12.8" hidden="false" customHeight="false" outlineLevel="0" collapsed="false">
      <c r="A250" s="3" t="s">
        <v>225</v>
      </c>
    </row>
    <row r="251" customFormat="false" ht="12.8" hidden="false" customHeight="false" outlineLevel="0" collapsed="false">
      <c r="A251" s="3" t="s">
        <v>223</v>
      </c>
    </row>
    <row r="252" customFormat="false" ht="12.8" hidden="false" customHeight="false" outlineLevel="0" collapsed="false">
      <c r="A252" s="3" t="s">
        <v>221</v>
      </c>
    </row>
    <row r="253" customFormat="false" ht="12.8" hidden="false" customHeight="false" outlineLevel="0" collapsed="false">
      <c r="A253" s="3" t="s">
        <v>225</v>
      </c>
    </row>
    <row r="254" customFormat="false" ht="12.8" hidden="false" customHeight="false" outlineLevel="0" collapsed="false">
      <c r="A254" s="3" t="s">
        <v>226</v>
      </c>
    </row>
    <row r="255" customFormat="false" ht="12.8" hidden="false" customHeight="false" outlineLevel="0" collapsed="false">
      <c r="A255" s="3" t="s">
        <v>218</v>
      </c>
    </row>
    <row r="256" customFormat="false" ht="12.8" hidden="false" customHeight="false" outlineLevel="0" collapsed="false">
      <c r="A256" s="3" t="s">
        <v>219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Roman,Normal"&amp;12&amp;KffffffSayfa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LibreOffice/25.2.5.2$Windows_X86_64 LibreOffice_project/03d19516eb2e1dd5d4ccd751a0d6f35f35e08022</Application>
  <AppVersion>15.0000</AppVers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2025-08-22T08:41:28Z</dcterms:created>
  <dc:creator>mhgorentas</dc:creator>
  <dc:description/>
  <dc:language>tr-TR</dc:language>
  <cp:lastModifiedBy>Mustafa Halil</cp:lastModifiedBy>
  <dcterms:modified xsi:type="dcterms:W3CDTF">2025-08-22T15:06:08Z</dcterms:modified>
  <cp:revision>49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